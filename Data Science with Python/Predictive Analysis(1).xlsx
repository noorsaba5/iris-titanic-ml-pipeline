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d644cb9b03303f/Documents/Skillsoft/Python Nov 2025/"/>
    </mc:Choice>
  </mc:AlternateContent>
  <xr:revisionPtr revIDLastSave="13" documentId="8_{F2E16ED0-C40D-46B8-9486-FA61B97C5581}" xr6:coauthVersionLast="47" xr6:coauthVersionMax="47" xr10:uidLastSave="{7F804FC6-EEC5-436F-940A-BBA60FC00531}"/>
  <bookViews>
    <workbookView xWindow="-108" yWindow="-108" windowWidth="23256" windowHeight="12456" activeTab="1" xr2:uid="{EFF11A9E-5D10-486C-9BB8-6581312D99BC}"/>
  </bookViews>
  <sheets>
    <sheet name="Overview" sheetId="1" r:id="rId1"/>
    <sheet name="Reg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2" l="1" a="1"/>
  <c r="G50" i="2" s="1"/>
  <c r="J50" i="2" s="1"/>
  <c r="F50" i="2" a="1"/>
  <c r="F50" i="2" s="1"/>
  <c r="I50" i="2" s="1"/>
  <c r="E9" i="2"/>
  <c r="E10" i="2"/>
  <c r="E11" i="2"/>
  <c r="E12" i="2"/>
  <c r="E13" i="2"/>
  <c r="E14" i="2"/>
  <c r="E15" i="2"/>
  <c r="E16" i="2"/>
  <c r="E17" i="2"/>
  <c r="E8" i="2"/>
  <c r="D9" i="2"/>
  <c r="D10" i="2"/>
  <c r="D11" i="2"/>
  <c r="D12" i="2"/>
  <c r="D13" i="2"/>
  <c r="D14" i="2"/>
  <c r="D15" i="2"/>
  <c r="D16" i="2"/>
  <c r="D17" i="2"/>
  <c r="D8" i="2"/>
  <c r="N13" i="1"/>
  <c r="N14" i="1"/>
  <c r="N15" i="1"/>
  <c r="N16" i="1"/>
  <c r="N17" i="1"/>
  <c r="N18" i="1"/>
  <c r="N19" i="1"/>
  <c r="N20" i="1"/>
  <c r="N21" i="1"/>
  <c r="N22" i="1"/>
  <c r="N23" i="1"/>
  <c r="N12" i="1"/>
  <c r="O13" i="1"/>
  <c r="O14" i="1"/>
  <c r="O15" i="1"/>
  <c r="O16" i="1"/>
  <c r="O17" i="1"/>
  <c r="O18" i="1"/>
  <c r="O19" i="1"/>
  <c r="O20" i="1"/>
  <c r="O21" i="1"/>
  <c r="O22" i="1"/>
  <c r="O23" i="1"/>
  <c r="O12" i="1"/>
  <c r="J13" i="1"/>
  <c r="J14" i="1"/>
  <c r="J15" i="1"/>
  <c r="J16" i="1"/>
  <c r="J17" i="1"/>
  <c r="J18" i="1"/>
  <c r="J19" i="1"/>
  <c r="J20" i="1"/>
  <c r="J21" i="1"/>
  <c r="J22" i="1"/>
  <c r="J23" i="1"/>
  <c r="J12" i="1"/>
  <c r="G62" i="2" l="1"/>
  <c r="F62" i="2"/>
  <c r="G61" i="2"/>
  <c r="F61" i="2"/>
  <c r="J59" i="2"/>
  <c r="J58" i="2"/>
  <c r="J57" i="2"/>
  <c r="J56" i="2"/>
  <c r="J54" i="2"/>
  <c r="J53" i="2"/>
  <c r="J55" i="2"/>
  <c r="J52" i="2"/>
  <c r="J51" i="2"/>
  <c r="I59" i="2"/>
  <c r="I58" i="2"/>
  <c r="I57" i="2"/>
  <c r="I56" i="2"/>
  <c r="I55" i="2"/>
  <c r="I54" i="2"/>
  <c r="I53" i="2"/>
  <c r="I52" i="2"/>
  <c r="I51" i="2"/>
  <c r="F8" i="2"/>
  <c r="H8" i="2" s="1"/>
  <c r="F9" i="2"/>
  <c r="F15" i="2"/>
  <c r="F10" i="2"/>
  <c r="F17" i="2"/>
  <c r="F16" i="2"/>
  <c r="F14" i="2"/>
  <c r="F13" i="2"/>
  <c r="F12" i="2"/>
  <c r="F11" i="2"/>
  <c r="J61" i="2" l="1"/>
  <c r="J62" i="2"/>
  <c r="I61" i="2"/>
  <c r="I62" i="2"/>
  <c r="G16" i="2"/>
  <c r="H16" i="2"/>
  <c r="G12" i="2"/>
  <c r="H12" i="2"/>
  <c r="G14" i="2"/>
  <c r="H14" i="2"/>
  <c r="G17" i="2"/>
  <c r="H17" i="2"/>
  <c r="G15" i="2"/>
  <c r="H15" i="2"/>
  <c r="G11" i="2"/>
  <c r="H11" i="2"/>
  <c r="G13" i="2"/>
  <c r="H13" i="2"/>
  <c r="G10" i="2"/>
  <c r="H10" i="2"/>
  <c r="G9" i="2"/>
  <c r="H9" i="2"/>
  <c r="G8" i="2"/>
  <c r="H19" i="2" l="1"/>
  <c r="H20" i="2"/>
  <c r="H21" i="2" s="1"/>
  <c r="G20" i="2"/>
  <c r="G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<sst xmlns="http://schemas.openxmlformats.org/spreadsheetml/2006/main" count="150" uniqueCount="130">
  <si>
    <t>Raw Python</t>
  </si>
  <si>
    <t>EDA</t>
  </si>
  <si>
    <t>Inferential Stats</t>
  </si>
  <si>
    <t>Confirmatory Analysis</t>
  </si>
  <si>
    <t>Predictive Analysis</t>
  </si>
  <si>
    <t>Y=F(x)</t>
  </si>
  <si>
    <t>Classification</t>
  </si>
  <si>
    <t>Regression</t>
  </si>
  <si>
    <t>Forecasting</t>
  </si>
  <si>
    <t>Clustering/Segmentation</t>
  </si>
  <si>
    <t>Recommendation systems</t>
  </si>
  <si>
    <t>PCA (Dimensionality reduction
technique)</t>
  </si>
  <si>
    <t>Unsupervised Learning
In unsupervised learning, 
we don't have a target
but we are learning the
hidden patterns
within the data.</t>
  </si>
  <si>
    <t>Supervised Learning
In supervised learning,
We have a target variable/
dependent variable/Y.</t>
  </si>
  <si>
    <t>Y=F(x)
Y is continuous in nature;
x is categorical or continuous
in nature
Ex - Price modeling; 
Amount of loan to be disbursed</t>
  </si>
  <si>
    <t>Y=F(x)
Y is categorical in nature;
x is categorical + continuous
in nature.
Ex -Identification of defaulter
vs non-defaulter, Churn modeling</t>
  </si>
  <si>
    <t>Y=F(t) or Y=F(t, x)
Y is continuous in nature;
x is categorical + continuous
in nature.
T is time
Ex -Weather forecasting, Stock 
prediction</t>
  </si>
  <si>
    <t>Univariate Forecasting</t>
  </si>
  <si>
    <t>Multivariate forecasting</t>
  </si>
  <si>
    <t>Sales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</si>
  <si>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</si>
  <si>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</si>
  <si>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</si>
  <si>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</si>
  <si>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</si>
  <si>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</si>
  <si>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</si>
  <si>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</si>
  <si>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</si>
  <si>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</si>
  <si>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</si>
  <si>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</si>
  <si>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</si>
  <si>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Marketing Expense</t>
  </si>
  <si>
    <t>Y</t>
  </si>
  <si>
    <t>Target/dependent
variable</t>
  </si>
  <si>
    <t>X</t>
  </si>
  <si>
    <t>Independent variable,
predictors, features</t>
  </si>
  <si>
    <t>Maths</t>
  </si>
  <si>
    <t>Y = mX + C
m - slope/gradient
C - intercept/constant</t>
  </si>
  <si>
    <t>Y = BX + C + E
B - weights/coefficients
C - intercept/bias/constant
E - Error</t>
  </si>
  <si>
    <t>Goal -&gt; Identify the best fit line (minimize the error)</t>
  </si>
  <si>
    <t>Y = B1X1 + B2X2 + …BnXn + C + E
Y = BnXn + C + E
Bn - weights/coefficients
C - intercept/bias/constant
E - Error</t>
  </si>
  <si>
    <t>Analytics/Data Science</t>
  </si>
  <si>
    <t>Actual Y</t>
  </si>
  <si>
    <t>Predicted Y</t>
  </si>
  <si>
    <t>Error = Actual Y - Predicted Y</t>
  </si>
  <si>
    <t>|Actual Y - Predicted Y|</t>
  </si>
  <si>
    <t>(Actual Y - Predicted Y)^2</t>
  </si>
  <si>
    <t>SSE(Sum of squared Errors)</t>
  </si>
  <si>
    <t>MSE(Mean square error)</t>
  </si>
  <si>
    <t>MAE (mean absolute error)</t>
  </si>
  <si>
    <t>RMSE(Root mean squared error)</t>
  </si>
  <si>
    <t>Steps in Data Science (Regression)</t>
  </si>
  <si>
    <t>0. Requirement Gathering</t>
  </si>
  <si>
    <t>1. Data Gathering/Data Import</t>
  </si>
  <si>
    <t>2. Data/Metadata Auditing</t>
  </si>
  <si>
    <t>3. Data Cleaning (Addressing the issues defines in second step)</t>
  </si>
  <si>
    <t>Loan amount to be disbursed</t>
  </si>
  <si>
    <t>(Problem has to be solved at the loan level)</t>
  </si>
  <si>
    <t>…</t>
  </si>
  <si>
    <t>ABC123</t>
  </si>
  <si>
    <t>DEC321</t>
  </si>
  <si>
    <t># borrowers</t>
  </si>
  <si>
    <t># transactions</t>
  </si>
  <si>
    <t>Collateral worth</t>
  </si>
  <si>
    <t># of products</t>
  </si>
  <si>
    <t>Avg CIBIL Score</t>
  </si>
  <si>
    <t>Loan ID</t>
  </si>
  <si>
    <t>Transaction table</t>
  </si>
  <si>
    <t>Customer table</t>
  </si>
  <si>
    <t>Product table</t>
  </si>
  <si>
    <t>CIBIL Score</t>
  </si>
  <si>
    <t>Data Available for us</t>
  </si>
  <si>
    <t>Final Consolidated 
Data (After using our
data manipulation abilities)</t>
  </si>
  <si>
    <t>4. EDA (Get the data at analysis level)
Exploratory Data Analysis</t>
  </si>
  <si>
    <t>5. Data preprocessing</t>
  </si>
  <si>
    <t>Split of the data</t>
  </si>
  <si>
    <t>Train</t>
  </si>
  <si>
    <t>Test</t>
  </si>
  <si>
    <t>Validating the algorithm</t>
  </si>
  <si>
    <t>Numerical variable</t>
  </si>
  <si>
    <t>Categorical variable</t>
  </si>
  <si>
    <t>Tranformation/Scaling of data</t>
  </si>
  <si>
    <t>1. Label Encoding
2. One-hot Encoding 
(Dummy Encoding)</t>
  </si>
  <si>
    <t>Scaling operations:
1. Standard Scaling (z_score)
2. Min max Scaling</t>
  </si>
  <si>
    <t>Age</t>
  </si>
  <si>
    <t>Salary</t>
  </si>
  <si>
    <t>z_score = (X - mean(X)) / Std. Dev.(X)</t>
  </si>
  <si>
    <t>Z_Age</t>
  </si>
  <si>
    <t>Z_Salary</t>
  </si>
  <si>
    <t>Mean</t>
  </si>
  <si>
    <t>Std. Dev.</t>
  </si>
  <si>
    <t>(X - min(X)) / (max(X) - min(X))</t>
  </si>
  <si>
    <t>Min = 0
Max = 1</t>
  </si>
  <si>
    <t>Categorical Variable</t>
  </si>
  <si>
    <t>Ordinal (Have order)</t>
  </si>
  <si>
    <t>Nominal (Don't have any order)</t>
  </si>
  <si>
    <t>Performance Rating:
Excellent - 5
Good - 4
Average - 3
Poor - 2
Fail - 1</t>
  </si>
  <si>
    <t>Label Encoding</t>
  </si>
  <si>
    <t>Gender
Male
Female
Others</t>
  </si>
  <si>
    <t>Gender_Male</t>
  </si>
  <si>
    <t>Gender_Female</t>
  </si>
  <si>
    <t>Gender_Others</t>
  </si>
  <si>
    <t>Gender</t>
  </si>
  <si>
    <t>Male</t>
  </si>
  <si>
    <t>Female</t>
  </si>
  <si>
    <t>Others</t>
  </si>
  <si>
    <t>Encoding of data</t>
  </si>
  <si>
    <t>Training (learning) the algorithm</t>
  </si>
  <si>
    <t>6. Modeling</t>
  </si>
  <si>
    <t>Fitting the model on train data</t>
  </si>
  <si>
    <t>7. Validation of Model</t>
  </si>
  <si>
    <t>OLS (Ordinary Least Square)</t>
  </si>
  <si>
    <t>MAE, MSE, RMSE, SSE</t>
  </si>
  <si>
    <t>R-sq, Adj. R-sq</t>
  </si>
  <si>
    <t>HW: Explore what is R-sq?
What's the difference between
R-sq. and adj. R-sq</t>
  </si>
  <si>
    <t>Assessing the error metrics
Error should be lower</t>
  </si>
  <si>
    <t xml:space="preserve">Assessing the accuracy Metrics
Accuracy should be higher
</t>
  </si>
  <si>
    <t>Linear Regression/OLS (Statistical Model)</t>
  </si>
  <si>
    <t>8. Validation of Assumptions</t>
  </si>
  <si>
    <t>9. Validation of final Results</t>
  </si>
  <si>
    <t>Decile Analysis</t>
  </si>
  <si>
    <t>10. Deployment of Model</t>
  </si>
  <si>
    <t>Dummy Encoding/
One-hot encoding</t>
  </si>
  <si>
    <t>1. Helps us in optimization
of error equation of linear
models.
2. Helps in optimization for
distance based algorithms.</t>
  </si>
  <si>
    <t>sklearn - ML/predictive analysis</t>
  </si>
  <si>
    <t>statsmodel - statistical modeling (Linear/Logistic regression)</t>
  </si>
  <si>
    <t>1. # of records &gt;= # of variables
2. All the variables should follow normal distribution (if not 
all, then atleast target should follow normal distribution)
3. There should be a linear relationship between X and Y variables.
4. There shouldn't be multicollinearity in the data.
...</t>
  </si>
  <si>
    <t>Linear Regression
.fit() - learning from data
.fit_transform() - learning + applying the learning
on the data
. transform() - Apply the knowledge on
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</si>
</sst>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Regression!$F$49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Regression!$F$50:$F$59</c:f>
              <c:numCache>
                <c:formatCode>General</c:formatCode>
                <c:ptCount val="10"/>
                <c:pt idx="0">
                  <c:v>55</c:v>
                </c:pt>
                <c:pt idx="1">
                  <c:v>45</c:v>
                </c:pt>
                <c:pt idx="2">
                  <c:v>26</c:v>
                </c:pt>
                <c:pt idx="3">
                  <c:v>57</c:v>
                </c:pt>
                <c:pt idx="4">
                  <c:v>45</c:v>
                </c:pt>
                <c:pt idx="5">
                  <c:v>41</c:v>
                </c:pt>
                <c:pt idx="6">
                  <c:v>44</c:v>
                </c:pt>
                <c:pt idx="7">
                  <c:v>28</c:v>
                </c:pt>
                <c:pt idx="8">
                  <c:v>41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2-40E9-8F1F-42EB1642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410687"/>
        <c:axId val="401411103"/>
      </c:lineChart>
      <c:lineChart>
        <c:grouping val="standard"/>
        <c:varyColors val="0"/>
        <c:ser>
          <c:idx val="1"/>
          <c:order val="1"/>
          <c:tx>
            <c:strRef>
              <c:f>Regression!$G$49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Regression!$G$50:$G$59</c:f>
              <c:numCache>
                <c:formatCode>General</c:formatCode>
                <c:ptCount val="10"/>
                <c:pt idx="0">
                  <c:v>81107.321542832884</c:v>
                </c:pt>
                <c:pt idx="1">
                  <c:v>73311.413808354177</c:v>
                </c:pt>
                <c:pt idx="2">
                  <c:v>84195.539363112126</c:v>
                </c:pt>
                <c:pt idx="3">
                  <c:v>87360.200921490366</c:v>
                </c:pt>
                <c:pt idx="4">
                  <c:v>98681.89948141975</c:v>
                </c:pt>
                <c:pt idx="5">
                  <c:v>54689.403604895982</c:v>
                </c:pt>
                <c:pt idx="6">
                  <c:v>62234.082741430888</c:v>
                </c:pt>
                <c:pt idx="7">
                  <c:v>89383.143689163</c:v>
                </c:pt>
                <c:pt idx="8">
                  <c:v>88059.504774899557</c:v>
                </c:pt>
                <c:pt idx="9">
                  <c:v>76476.032612106908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2-40E9-8F1F-42EB1642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869423"/>
        <c:axId val="478864431"/>
      </c:lineChart>
      <c:catAx>
        <c:axId val="40141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1103"/>
        <c:crosses val="autoZero"/>
        <c:auto val="1"/>
        <c:lblAlgn val="ctr"/>
        <c:lblOffset val="100"/>
        <c:noMultiLvlLbl val="0"/>
      </c:catAx>
      <c:valAx>
        <c:axId val="4014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0687"/>
        <c:crosses val="autoZero"/>
        <c:crossBetween val="between"/>
      </c:valAx>
      <c:valAx>
        <c:axId val="4788644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69423"/>
        <c:crosses val="max"/>
        <c:crossBetween val="between"/>
      </c:valAx>
      <c:catAx>
        <c:axId val="478869423"/>
        <c:scaling>
          <c:orientation val="minMax"/>
        </c:scaling>
        <c:delete val="1"/>
        <c:axPos val="b"/>
        <c:majorTickMark val="out"/>
        <c:minorTickMark val="none"/>
        <c:tickLblPos val="nextTo"/>
        <c:crossAx val="478864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Regression!$I$49</c:f>
              <c:strCache>
                <c:ptCount val="1"/>
                <c:pt idx="0">
                  <c:v>Z_Age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Regression!$I$50:$I$59</c:f>
              <c:numCache>
                <c:formatCode>General</c:formatCode>
                <c:ptCount val="10"/>
                <c:pt idx="0">
                  <c:v>1.3468340123352305</c:v>
                </c:pt>
                <c:pt idx="1">
                  <c:v>0.39835935576112474</c:v>
                </c:pt>
                <c:pt idx="2">
                  <c:v>-1.4037424917296764</c:v>
                </c:pt>
                <c:pt idx="3">
                  <c:v>1.5365289436500518</c:v>
                </c:pt>
                <c:pt idx="4">
                  <c:v>0.39835935576112474</c:v>
                </c:pt>
                <c:pt idx="5">
                  <c:v>1.8969493131482388E-2</c:v>
                </c:pt>
                <c:pt idx="6">
                  <c:v>0.30351189010371415</c:v>
                </c:pt>
                <c:pt idx="7">
                  <c:v>-1.2140475604148553</c:v>
                </c:pt>
                <c:pt idx="8">
                  <c:v>1.8969493131482388E-2</c:v>
                </c:pt>
                <c:pt idx="9">
                  <c:v>-1.4037424917296764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D-4612-BFAD-16D7E8391864}"/>
            </c:ext>
          </c:extLst>
        </c:ser>
        <c:ser>
          <c:idx val="1"/>
          <c:order val="1"/>
          <c:tx>
            <c:strRef>
              <c:f>Regression!$J$49</c:f>
              <c:strCache>
                <c:ptCount val="1"/>
                <c:pt idx="0">
                  <c:v>Z_Salary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Regression!$J$50:$J$59</c:f>
              <c:numCache>
                <c:formatCode>General</c:formatCode>
                <c:ptCount val="10"/>
                <c:pt idx="0">
                  <c:v>0.1236553749908928</c:v>
                </c:pt>
                <c:pt idx="1">
                  <c:v>-0.49530201897501402</c:v>
                </c:pt>
                <c:pt idx="2">
                  <c:v>0.36884494356227204</c:v>
                </c:pt>
                <c:pt idx="3">
                  <c:v>0.62010377546132101</c:v>
                </c:pt>
                <c:pt idx="4">
                  <c:v>1.5189919196769011</c:v>
                </c:pt>
                <c:pt idx="5">
                  <c:v>-1.973799622911798</c:v>
                </c:pt>
                <c:pt idx="6">
                  <c:v>-1.3747885653532963</c:v>
                </c:pt>
                <c:pt idx="7">
                  <c:v>0.78071565367572604</c:v>
                </c:pt>
                <c:pt idx="8">
                  <c:v>0.67562512145957654</c:v>
                </c:pt>
                <c:pt idx="9">
                  <c:v>-0.24404658158658346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D-4612-BFAD-16D7E839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723695"/>
        <c:axId val="475721199"/>
      </c:lineChart>
      <c:catAx>
        <c:axId val="47572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1199"/>
        <c:crosses val="autoZero"/>
        <c:auto val="1"/>
        <c:lblAlgn val="ctr"/>
        <c:lblOffset val="100"/>
        <c:noMultiLvlLbl val="0"/>
      </c:catAx>
      <c:valAx>
        <c:axId val="4757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2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36</xdr:row>
      <xdr:rowOff>41910</xdr:rowOff>
    </xdr:from>
    <xdr:to>
      <xdr:col>17</xdr:col>
      <xdr:colOff>358140</xdr:colOff>
      <xdr:row>48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DD825-1B02-4ACA-B398-E5E452075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</xdr:colOff>
      <xdr:row>48</xdr:row>
      <xdr:rowOff>148590</xdr:rowOff>
    </xdr:from>
    <xdr:to>
      <xdr:col>17</xdr:col>
      <xdr:colOff>388620</xdr:colOff>
      <xdr:row>57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9993C-9EFC-4D11-BAFD-620555D37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32A4-23B7-40B6-8CAB-48909E6F9C89}">
  <dimension ref="A1:O23"/>
  <sheetViews>
    <sheetView topLeftCell="A7" workbookViewId="0">
      <selection activeCell="F17" sqref="F17"/>
    </sheetView>
  </sheetViews>
  <sheetFormatPr defaultRowHeight="14.4" x14ac:dyDescent="0.3"/>
  <cols>
    <col min="1" max="2" width="16" bestFit="1" customWidth="1"/>
    <col min="3" max="3" width="21.109375" bestFit="1" customWidth="1"/>
    <col min="6" max="6" width="22.6640625" bestFit="1" customWidth="1"/>
    <col min="7" max="7" width="25" bestFit="1" customWidth="1"/>
    <col min="15" max="15" width="16.44140625" bestFit="1" customWidth="1"/>
  </cols>
  <sheetData>
    <row r="1" spans="1:15" x14ac:dyDescent="0.3">
      <c r="A1" t="s">
        <v>0</v>
      </c>
    </row>
    <row r="4" spans="1:15" x14ac:dyDescent="0.3">
      <c r="A4" t="s">
        <v>1</v>
      </c>
      <c r="C4" s="15" t="s">
        <v>3</v>
      </c>
    </row>
    <row r="5" spans="1:15" x14ac:dyDescent="0.3">
      <c r="A5" t="s">
        <v>2</v>
      </c>
      <c r="C5" s="15"/>
    </row>
    <row r="7" spans="1:15" ht="115.2" customHeight="1" x14ac:dyDescent="0.3">
      <c r="A7" t="s">
        <v>4</v>
      </c>
      <c r="B7" s="15" t="s">
        <v>4</v>
      </c>
      <c r="C7" s="16" t="s">
        <v>13</v>
      </c>
      <c r="D7" t="s">
        <v>5</v>
      </c>
      <c r="F7" t="s">
        <v>7</v>
      </c>
      <c r="G7" s="2" t="s">
        <v>14</v>
      </c>
    </row>
    <row r="8" spans="1:15" x14ac:dyDescent="0.3">
      <c r="B8" s="15"/>
      <c r="C8" s="16"/>
    </row>
    <row r="9" spans="1:15" ht="144" x14ac:dyDescent="0.3">
      <c r="B9" s="15"/>
      <c r="C9" s="16"/>
      <c r="F9" t="s">
        <v>6</v>
      </c>
      <c r="G9" s="2" t="s">
        <v>15</v>
      </c>
    </row>
    <row r="10" spans="1:15" x14ac:dyDescent="0.3">
      <c r="B10" s="15"/>
      <c r="C10" s="16"/>
      <c r="I10" t="s">
        <v>17</v>
      </c>
      <c r="M10" t="s">
        <v>18</v>
      </c>
    </row>
    <row r="11" spans="1:15" ht="144" x14ac:dyDescent="0.3">
      <c r="B11" s="15"/>
      <c r="C11" s="16"/>
      <c r="F11" t="s">
        <v>8</v>
      </c>
      <c r="G11" s="2" t="s">
        <v>16</v>
      </c>
      <c r="I11" t="s">
        <v>20</v>
      </c>
      <c r="J11" t="s">
        <v>19</v>
      </c>
      <c r="M11" t="s">
        <v>20</v>
      </c>
      <c r="N11" t="s">
        <v>19</v>
      </c>
      <c r="O11" t="s">
        <v>33</v>
      </c>
    </row>
    <row r="12" spans="1:15" x14ac:dyDescent="0.3">
      <c r="B12" s="15"/>
      <c r="C12" s="16"/>
      <c r="I12" t="s">
        <v>21</v>
      </c>
      <c r="J12">
        <f ca="1">RANDBETWEEN(5000,10000)</f>
        <v>5686</v>
      </c>
      <c r="M12" t="s">
        <v>21</v>
      </c>
      <c r="N12">
        <f ca="1">RANDBETWEEN(7000,12000)</f>
        <v>9622</v>
      </c>
      <c r="O12">
        <f ca="1">RANDBETWEEN(500,1000)</f>
        <v>639</v>
      </c>
    </row>
    <row r="13" spans="1:15" x14ac:dyDescent="0.3">
      <c r="B13" s="15"/>
      <c r="C13" s="16"/>
      <c r="I13" t="s">
        <v>22</v>
      </c>
      <c r="J13">
        <f t="shared" ref="J13:J23" ca="1" si="0">RANDBETWEEN(5000,10000)</f>
        <v>7176</v>
      </c>
      <c r="M13" t="s">
        <v>22</v>
      </c>
      <c r="N13">
        <f t="shared" ref="N13:N23" ca="1" si="1">RANDBETWEEN(7000,12000)</f>
        <v>7323</v>
      </c>
      <c r="O13">
        <f t="shared" ref="O13:O23" ca="1" si="2">RANDBETWEEN(500,1000)</f>
        <v>842</v>
      </c>
    </row>
    <row r="14" spans="1:15" x14ac:dyDescent="0.3">
      <c r="B14" s="15"/>
      <c r="C14" s="16"/>
      <c r="I14" t="s">
        <v>23</v>
      </c>
      <c r="J14">
        <f t="shared" ca="1" si="0"/>
        <v>5340</v>
      </c>
      <c r="M14" t="s">
        <v>23</v>
      </c>
      <c r="N14">
        <f t="shared" ca="1" si="1"/>
        <v>9651</v>
      </c>
      <c r="O14">
        <f t="shared" ca="1" si="2"/>
        <v>672</v>
      </c>
    </row>
    <row r="15" spans="1:15" ht="102.6" customHeight="1" x14ac:dyDescent="0.3">
      <c r="B15" s="15"/>
      <c r="C15" s="16" t="s">
        <v>12</v>
      </c>
      <c r="F15" t="s">
        <v>9</v>
      </c>
      <c r="I15" t="s">
        <v>24</v>
      </c>
      <c r="J15">
        <f t="shared" ca="1" si="0"/>
        <v>5176</v>
      </c>
      <c r="M15" t="s">
        <v>24</v>
      </c>
      <c r="N15">
        <f t="shared" ca="1" si="1"/>
        <v>11871</v>
      </c>
      <c r="O15">
        <f t="shared" ca="1" si="2"/>
        <v>802</v>
      </c>
    </row>
    <row r="16" spans="1:15" ht="50.4" customHeight="1" x14ac:dyDescent="0.3">
      <c r="B16" s="15"/>
      <c r="C16" s="16"/>
      <c r="F16" s="2" t="s">
        <v>11</v>
      </c>
      <c r="I16" t="s">
        <v>25</v>
      </c>
      <c r="J16">
        <f t="shared" ca="1" si="0"/>
        <v>6994</v>
      </c>
      <c r="M16" t="s">
        <v>25</v>
      </c>
      <c r="N16">
        <f t="shared" ca="1" si="1"/>
        <v>7548</v>
      </c>
      <c r="O16">
        <f t="shared" ca="1" si="2"/>
        <v>566</v>
      </c>
    </row>
    <row r="17" spans="3:15" x14ac:dyDescent="0.3">
      <c r="C17" s="16"/>
      <c r="F17" t="s">
        <v>10</v>
      </c>
      <c r="I17" t="s">
        <v>26</v>
      </c>
      <c r="J17">
        <f t="shared" ca="1" si="0"/>
        <v>5766</v>
      </c>
      <c r="M17" t="s">
        <v>26</v>
      </c>
      <c r="N17">
        <f t="shared" ca="1" si="1"/>
        <v>7523</v>
      </c>
      <c r="O17">
        <f t="shared" ca="1" si="2"/>
        <v>973</v>
      </c>
    </row>
    <row r="18" spans="3:15" x14ac:dyDescent="0.3">
      <c r="I18" t="s">
        <v>27</v>
      </c>
      <c r="J18">
        <f t="shared" ca="1" si="0"/>
        <v>7503</v>
      </c>
      <c r="M18" t="s">
        <v>27</v>
      </c>
      <c r="N18">
        <f t="shared" ca="1" si="1"/>
        <v>7905</v>
      </c>
      <c r="O18">
        <f t="shared" ca="1" si="2"/>
        <v>747</v>
      </c>
    </row>
    <row r="19" spans="3:15" x14ac:dyDescent="0.3">
      <c r="I19" t="s">
        <v>28</v>
      </c>
      <c r="J19">
        <f t="shared" ca="1" si="0"/>
        <v>7781</v>
      </c>
      <c r="M19" t="s">
        <v>28</v>
      </c>
      <c r="N19">
        <f t="shared" ca="1" si="1"/>
        <v>10552</v>
      </c>
      <c r="O19">
        <f t="shared" ca="1" si="2"/>
        <v>582</v>
      </c>
    </row>
    <row r="20" spans="3:15" x14ac:dyDescent="0.3">
      <c r="I20" t="s">
        <v>29</v>
      </c>
      <c r="J20">
        <f t="shared" ca="1" si="0"/>
        <v>7728</v>
      </c>
      <c r="M20" t="s">
        <v>29</v>
      </c>
      <c r="N20">
        <f t="shared" ca="1" si="1"/>
        <v>10084</v>
      </c>
      <c r="O20">
        <f t="shared" ca="1" si="2"/>
        <v>986</v>
      </c>
    </row>
    <row r="21" spans="3:15" x14ac:dyDescent="0.3">
      <c r="I21" t="s">
        <v>30</v>
      </c>
      <c r="J21">
        <f t="shared" ca="1" si="0"/>
        <v>8525</v>
      </c>
      <c r="M21" t="s">
        <v>30</v>
      </c>
      <c r="N21">
        <f t="shared" ca="1" si="1"/>
        <v>11900</v>
      </c>
      <c r="O21">
        <f t="shared" ca="1" si="2"/>
        <v>935</v>
      </c>
    </row>
    <row r="22" spans="3:15" x14ac:dyDescent="0.3">
      <c r="I22" t="s">
        <v>31</v>
      </c>
      <c r="J22">
        <f t="shared" ca="1" si="0"/>
        <v>6210</v>
      </c>
      <c r="M22" t="s">
        <v>31</v>
      </c>
      <c r="N22">
        <f t="shared" ca="1" si="1"/>
        <v>11615</v>
      </c>
      <c r="O22">
        <f t="shared" ca="1" si="2"/>
        <v>997</v>
      </c>
    </row>
    <row r="23" spans="3:15" x14ac:dyDescent="0.3">
      <c r="I23" t="s">
        <v>32</v>
      </c>
      <c r="J23">
        <f t="shared" ca="1" si="0"/>
        <v>9817</v>
      </c>
      <c r="M23" t="s">
        <v>32</v>
      </c>
      <c r="N23">
        <f t="shared" ca="1" si="1"/>
        <v>11965</v>
      </c>
      <c r="O23">
        <f t="shared" ca="1" si="2"/>
        <v>567</v>
      </c>
    </row>
  </sheetData>
  <mergeCells count="4">
    <mergeCell ref="C4:C5"/>
    <mergeCell ref="B7:B16"/>
    <mergeCell ref="C15:C17"/>
    <mergeCell ref="C7:C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3809-583A-45BA-A0C6-44874F879F56}">
  <dimension ref="A1:O71"/>
  <sheetViews>
    <sheetView tabSelected="1" topLeftCell="A38" zoomScale="80" zoomScaleNormal="80" workbookViewId="0">
      <selection activeCell="C51" sqref="C51"/>
    </sheetView>
  </sheetViews>
  <sheetFormatPr defaultRowHeight="14.4" x14ac:dyDescent="0.3"/>
  <cols>
    <col min="1" max="1" width="54.33203125" bestFit="1" customWidth="1"/>
    <col min="2" max="2" width="34.44140625" customWidth="1"/>
    <col min="3" max="3" width="27.21875" customWidth="1"/>
    <col min="4" max="4" width="27.21875" bestFit="1" customWidth="1"/>
    <col min="5" max="5" width="12.44140625" bestFit="1" customWidth="1"/>
    <col min="6" max="6" width="26" bestFit="1" customWidth="1"/>
    <col min="7" max="7" width="20.21875" bestFit="1" customWidth="1"/>
    <col min="8" max="8" width="21.6640625" bestFit="1" customWidth="1"/>
    <col min="9" max="9" width="31" bestFit="1" customWidth="1"/>
    <col min="10" max="10" width="24.44140625" customWidth="1"/>
    <col min="12" max="12" width="12" bestFit="1" customWidth="1"/>
  </cols>
  <sheetData>
    <row r="1" spans="1:11" x14ac:dyDescent="0.3">
      <c r="A1" t="s">
        <v>119</v>
      </c>
    </row>
    <row r="2" spans="1:11" x14ac:dyDescent="0.3">
      <c r="A2" t="s">
        <v>34</v>
      </c>
      <c r="B2" t="s">
        <v>36</v>
      </c>
    </row>
    <row r="3" spans="1:11" ht="37.200000000000003" customHeight="1" x14ac:dyDescent="0.3">
      <c r="A3" s="2" t="s">
        <v>35</v>
      </c>
      <c r="B3" s="2" t="s">
        <v>37</v>
      </c>
    </row>
    <row r="4" spans="1:11" x14ac:dyDescent="0.3">
      <c r="A4" s="1" t="s">
        <v>38</v>
      </c>
      <c r="B4" s="15" t="s">
        <v>43</v>
      </c>
      <c r="C4" s="15"/>
    </row>
    <row r="5" spans="1:11" ht="101.4" thickBot="1" x14ac:dyDescent="0.35">
      <c r="A5" s="2" t="s">
        <v>39</v>
      </c>
      <c r="B5" s="2" t="s">
        <v>40</v>
      </c>
      <c r="C5" s="2" t="s">
        <v>42</v>
      </c>
    </row>
    <row r="6" spans="1:11" x14ac:dyDescent="0.3">
      <c r="D6" s="4"/>
      <c r="E6" s="5"/>
      <c r="F6" s="5"/>
      <c r="G6" s="5"/>
      <c r="H6" s="5"/>
      <c r="I6" s="5"/>
      <c r="J6" s="5"/>
      <c r="K6" s="6"/>
    </row>
    <row r="7" spans="1:11" ht="43.2" x14ac:dyDescent="0.3">
      <c r="A7" s="2" t="s">
        <v>41</v>
      </c>
      <c r="D7" s="7" t="s">
        <v>44</v>
      </c>
      <c r="E7" s="8" t="s">
        <v>45</v>
      </c>
      <c r="F7" s="8" t="s">
        <v>46</v>
      </c>
      <c r="G7" s="8" t="s">
        <v>47</v>
      </c>
      <c r="H7" s="8" t="s">
        <v>48</v>
      </c>
      <c r="I7" s="8"/>
      <c r="J7" s="8"/>
      <c r="K7" s="9"/>
    </row>
    <row r="8" spans="1:11" x14ac:dyDescent="0.3">
      <c r="D8" s="7">
        <f ca="1">RANDBETWEEN(100,500)</f>
        <v>333</v>
      </c>
      <c r="E8" s="8">
        <f ca="1">RANDBETWEEN(100,500)</f>
        <v>135</v>
      </c>
      <c r="F8" s="8">
        <f ca="1">D8-E8</f>
        <v>198</v>
      </c>
      <c r="G8" s="8">
        <f ca="1">ABS(F8)</f>
        <v>198</v>
      </c>
      <c r="H8" s="8">
        <f ca="1">POWER(F8,2)</f>
        <v>39204</v>
      </c>
      <c r="I8" s="8"/>
      <c r="J8" s="8"/>
      <c r="K8" s="9"/>
    </row>
    <row r="9" spans="1:11" x14ac:dyDescent="0.3">
      <c r="D9" s="7">
        <f t="shared" ref="D9:E17" ca="1" si="0">RANDBETWEEN(100,500)</f>
        <v>202</v>
      </c>
      <c r="E9" s="8">
        <f t="shared" ca="1" si="0"/>
        <v>146</v>
      </c>
      <c r="F9" s="8">
        <f t="shared" ref="F9:F17" ca="1" si="1">D9-E9</f>
        <v>56</v>
      </c>
      <c r="G9" s="8">
        <f t="shared" ref="G9:G17" ca="1" si="2">ABS(F9)</f>
        <v>56</v>
      </c>
      <c r="H9" s="8">
        <f t="shared" ref="H9:H17" ca="1" si="3">POWER(F9,2)</f>
        <v>3136</v>
      </c>
      <c r="I9" s="8"/>
      <c r="J9" s="8"/>
      <c r="K9" s="9"/>
    </row>
    <row r="10" spans="1:11" x14ac:dyDescent="0.3">
      <c r="D10" s="7">
        <f t="shared" ca="1" si="0"/>
        <v>273</v>
      </c>
      <c r="E10" s="8">
        <f t="shared" ca="1" si="0"/>
        <v>448</v>
      </c>
      <c r="F10" s="8">
        <f t="shared" ca="1" si="1"/>
        <v>-175</v>
      </c>
      <c r="G10" s="8">
        <f t="shared" ca="1" si="2"/>
        <v>175</v>
      </c>
      <c r="H10" s="8">
        <f t="shared" ca="1" si="3"/>
        <v>30625</v>
      </c>
      <c r="I10" s="8"/>
      <c r="J10" s="8"/>
      <c r="K10" s="9"/>
    </row>
    <row r="11" spans="1:11" x14ac:dyDescent="0.3">
      <c r="D11" s="7">
        <f t="shared" ca="1" si="0"/>
        <v>123</v>
      </c>
      <c r="E11" s="8">
        <f t="shared" ca="1" si="0"/>
        <v>500</v>
      </c>
      <c r="F11" s="8">
        <f t="shared" ca="1" si="1"/>
        <v>-377</v>
      </c>
      <c r="G11" s="8">
        <f t="shared" ca="1" si="2"/>
        <v>377</v>
      </c>
      <c r="H11" s="8">
        <f t="shared" ca="1" si="3"/>
        <v>142129</v>
      </c>
      <c r="I11" s="8"/>
      <c r="J11" s="8"/>
      <c r="K11" s="9"/>
    </row>
    <row r="12" spans="1:11" x14ac:dyDescent="0.3">
      <c r="D12" s="7">
        <f t="shared" ca="1" si="0"/>
        <v>443</v>
      </c>
      <c r="E12" s="8">
        <f t="shared" ca="1" si="0"/>
        <v>246</v>
      </c>
      <c r="F12" s="8">
        <f t="shared" ca="1" si="1"/>
        <v>197</v>
      </c>
      <c r="G12" s="8">
        <f t="shared" ca="1" si="2"/>
        <v>197</v>
      </c>
      <c r="H12" s="8">
        <f t="shared" ca="1" si="3"/>
        <v>38809</v>
      </c>
      <c r="I12" s="8"/>
      <c r="J12" s="8"/>
      <c r="K12" s="9"/>
    </row>
    <row r="13" spans="1:11" x14ac:dyDescent="0.3">
      <c r="D13" s="7">
        <f t="shared" ca="1" si="0"/>
        <v>153</v>
      </c>
      <c r="E13" s="8">
        <f t="shared" ca="1" si="0"/>
        <v>368</v>
      </c>
      <c r="F13" s="8">
        <f t="shared" ca="1" si="1"/>
        <v>-215</v>
      </c>
      <c r="G13" s="8">
        <f t="shared" ca="1" si="2"/>
        <v>215</v>
      </c>
      <c r="H13" s="8">
        <f t="shared" ca="1" si="3"/>
        <v>46225</v>
      </c>
      <c r="I13" s="8"/>
      <c r="J13" s="8"/>
      <c r="K13" s="9"/>
    </row>
    <row r="14" spans="1:11" x14ac:dyDescent="0.3">
      <c r="D14" s="7">
        <f t="shared" ca="1" si="0"/>
        <v>500</v>
      </c>
      <c r="E14" s="8">
        <f t="shared" ca="1" si="0"/>
        <v>374</v>
      </c>
      <c r="F14" s="8">
        <f t="shared" ca="1" si="1"/>
        <v>126</v>
      </c>
      <c r="G14" s="8">
        <f t="shared" ca="1" si="2"/>
        <v>126</v>
      </c>
      <c r="H14" s="8">
        <f t="shared" ca="1" si="3"/>
        <v>15876</v>
      </c>
      <c r="I14" s="8"/>
      <c r="J14" s="8"/>
      <c r="K14" s="9"/>
    </row>
    <row r="15" spans="1:11" x14ac:dyDescent="0.3">
      <c r="D15" s="7">
        <f t="shared" ca="1" si="0"/>
        <v>365</v>
      </c>
      <c r="E15" s="8">
        <f t="shared" ca="1" si="0"/>
        <v>245</v>
      </c>
      <c r="F15" s="8">
        <f t="shared" ca="1" si="1"/>
        <v>120</v>
      </c>
      <c r="G15" s="8">
        <f t="shared" ca="1" si="2"/>
        <v>120</v>
      </c>
      <c r="H15" s="8">
        <f t="shared" ca="1" si="3"/>
        <v>14400</v>
      </c>
      <c r="I15" s="8"/>
      <c r="J15" s="8"/>
      <c r="K15" s="9"/>
    </row>
    <row r="16" spans="1:11" x14ac:dyDescent="0.3">
      <c r="D16" s="7">
        <f t="shared" ca="1" si="0"/>
        <v>151</v>
      </c>
      <c r="E16" s="8">
        <f t="shared" ca="1" si="0"/>
        <v>455</v>
      </c>
      <c r="F16" s="8">
        <f t="shared" ca="1" si="1"/>
        <v>-304</v>
      </c>
      <c r="G16" s="8">
        <f t="shared" ca="1" si="2"/>
        <v>304</v>
      </c>
      <c r="H16" s="8">
        <f t="shared" ca="1" si="3"/>
        <v>92416</v>
      </c>
      <c r="I16" s="8"/>
      <c r="J16" s="8"/>
      <c r="K16" s="9"/>
    </row>
    <row r="17" spans="1:11" x14ac:dyDescent="0.3">
      <c r="D17" s="7">
        <f t="shared" ca="1" si="0"/>
        <v>139</v>
      </c>
      <c r="E17" s="8">
        <f t="shared" ca="1" si="0"/>
        <v>348</v>
      </c>
      <c r="F17" s="8">
        <f t="shared" ca="1" si="1"/>
        <v>-209</v>
      </c>
      <c r="G17" s="8">
        <f t="shared" ca="1" si="2"/>
        <v>209</v>
      </c>
      <c r="H17" s="8">
        <f t="shared" ca="1" si="3"/>
        <v>43681</v>
      </c>
      <c r="I17" s="8"/>
      <c r="J17" s="8"/>
      <c r="K17" s="9"/>
    </row>
    <row r="18" spans="1:11" x14ac:dyDescent="0.3">
      <c r="D18" s="7"/>
      <c r="E18" s="8"/>
      <c r="F18" s="8"/>
      <c r="G18" s="8"/>
      <c r="H18" s="8"/>
      <c r="I18" s="8"/>
      <c r="J18" s="8"/>
      <c r="K18" s="9"/>
    </row>
    <row r="19" spans="1:11" x14ac:dyDescent="0.3">
      <c r="D19" s="7"/>
      <c r="E19" s="8"/>
      <c r="F19" s="8"/>
      <c r="G19" s="8">
        <f ca="1">SUM(G8:G17)</f>
        <v>1977</v>
      </c>
      <c r="H19" s="8">
        <f ca="1">SUM(H8:H17)</f>
        <v>466501</v>
      </c>
      <c r="I19" s="8" t="s">
        <v>49</v>
      </c>
      <c r="J19" s="8"/>
      <c r="K19" s="9"/>
    </row>
    <row r="20" spans="1:11" x14ac:dyDescent="0.3">
      <c r="D20" s="7"/>
      <c r="E20" s="8"/>
      <c r="F20" s="8" t="s">
        <v>51</v>
      </c>
      <c r="G20" s="8">
        <f ca="1">AVERAGE(G8:G17)</f>
        <v>197.7</v>
      </c>
      <c r="H20" s="8">
        <f ca="1">AVERAGE(H8:H17)</f>
        <v>46650.1</v>
      </c>
      <c r="I20" s="10" t="s">
        <v>50</v>
      </c>
      <c r="J20" s="8"/>
      <c r="K20" s="9"/>
    </row>
    <row r="21" spans="1:11" x14ac:dyDescent="0.3">
      <c r="D21" s="7"/>
      <c r="E21" s="8"/>
      <c r="F21" s="8"/>
      <c r="G21" s="8"/>
      <c r="H21" s="8">
        <f ca="1">SQRT(H20)</f>
        <v>215.98634216079498</v>
      </c>
      <c r="I21" s="10" t="s">
        <v>52</v>
      </c>
      <c r="J21" s="8"/>
      <c r="K21" s="9"/>
    </row>
    <row r="22" spans="1:11" ht="15" thickBot="1" x14ac:dyDescent="0.35">
      <c r="D22" s="11"/>
      <c r="E22" s="12"/>
      <c r="F22" s="12"/>
      <c r="G22" s="12"/>
      <c r="H22" s="12"/>
      <c r="I22" s="12"/>
      <c r="J22" s="12"/>
      <c r="K22" s="13"/>
    </row>
    <row r="24" spans="1:11" x14ac:dyDescent="0.3">
      <c r="A24" t="s">
        <v>53</v>
      </c>
    </row>
    <row r="26" spans="1:11" x14ac:dyDescent="0.3">
      <c r="A26" t="s">
        <v>54</v>
      </c>
    </row>
    <row r="27" spans="1:11" x14ac:dyDescent="0.3">
      <c r="A27" t="s">
        <v>55</v>
      </c>
    </row>
    <row r="28" spans="1:11" x14ac:dyDescent="0.3">
      <c r="A28" s="3" t="s">
        <v>56</v>
      </c>
    </row>
    <row r="29" spans="1:11" x14ac:dyDescent="0.3">
      <c r="A29" s="3" t="s">
        <v>57</v>
      </c>
    </row>
    <row r="30" spans="1:11" ht="57.6" x14ac:dyDescent="0.3">
      <c r="A30" s="14" t="s">
        <v>75</v>
      </c>
    </row>
    <row r="32" spans="1:11" x14ac:dyDescent="0.3">
      <c r="B32" t="s">
        <v>58</v>
      </c>
      <c r="C32" t="s">
        <v>59</v>
      </c>
    </row>
    <row r="33" spans="1:9" ht="15" thickBot="1" x14ac:dyDescent="0.35"/>
    <row r="34" spans="1:9" ht="28.8" customHeight="1" x14ac:dyDescent="0.3">
      <c r="B34" s="17" t="s">
        <v>74</v>
      </c>
      <c r="C34" s="4" t="s">
        <v>68</v>
      </c>
      <c r="D34" s="5" t="s">
        <v>63</v>
      </c>
      <c r="E34" s="5" t="s">
        <v>64</v>
      </c>
      <c r="F34" s="5" t="s">
        <v>65</v>
      </c>
      <c r="G34" s="5" t="s">
        <v>66</v>
      </c>
      <c r="H34" s="5" t="s">
        <v>67</v>
      </c>
      <c r="I34" s="6" t="s">
        <v>34</v>
      </c>
    </row>
    <row r="35" spans="1:9" x14ac:dyDescent="0.3">
      <c r="B35" s="17"/>
      <c r="C35" s="7" t="s">
        <v>61</v>
      </c>
      <c r="D35" s="8"/>
      <c r="E35" s="8"/>
      <c r="F35" s="8"/>
      <c r="G35" s="8"/>
      <c r="H35" s="8"/>
      <c r="I35" s="9">
        <v>1234</v>
      </c>
    </row>
    <row r="36" spans="1:9" x14ac:dyDescent="0.3">
      <c r="B36" s="17"/>
      <c r="C36" s="7" t="s">
        <v>62</v>
      </c>
      <c r="D36" s="8"/>
      <c r="E36" s="8"/>
      <c r="F36" s="8"/>
      <c r="G36" s="8"/>
      <c r="H36" s="8"/>
      <c r="I36" s="9">
        <v>3221</v>
      </c>
    </row>
    <row r="37" spans="1:9" x14ac:dyDescent="0.3">
      <c r="B37" s="17"/>
      <c r="C37" s="7" t="s">
        <v>60</v>
      </c>
      <c r="D37" s="8"/>
      <c r="E37" s="8"/>
      <c r="F37" s="8"/>
      <c r="G37" s="8"/>
      <c r="H37" s="8"/>
      <c r="I37" s="9" t="s">
        <v>60</v>
      </c>
    </row>
    <row r="38" spans="1:9" ht="15" thickBot="1" x14ac:dyDescent="0.35">
      <c r="B38" s="17"/>
      <c r="C38" s="11"/>
      <c r="D38" s="12"/>
      <c r="E38" s="12"/>
      <c r="F38" s="12"/>
      <c r="G38" s="12"/>
      <c r="H38" s="12"/>
      <c r="I38" s="13"/>
    </row>
    <row r="40" spans="1:9" x14ac:dyDescent="0.3">
      <c r="B40" s="15" t="s">
        <v>73</v>
      </c>
      <c r="C40" t="s">
        <v>69</v>
      </c>
    </row>
    <row r="41" spans="1:9" x14ac:dyDescent="0.3">
      <c r="B41" s="15"/>
      <c r="C41" t="s">
        <v>70</v>
      </c>
    </row>
    <row r="42" spans="1:9" x14ac:dyDescent="0.3">
      <c r="B42" s="15"/>
      <c r="C42" t="s">
        <v>71</v>
      </c>
    </row>
    <row r="43" spans="1:9" x14ac:dyDescent="0.3">
      <c r="B43" s="15"/>
      <c r="C43" t="s">
        <v>72</v>
      </c>
    </row>
    <row r="45" spans="1:9" ht="15" thickBot="1" x14ac:dyDescent="0.35">
      <c r="A45" t="s">
        <v>76</v>
      </c>
      <c r="F45" t="s">
        <v>81</v>
      </c>
      <c r="G45" t="s">
        <v>82</v>
      </c>
    </row>
    <row r="46" spans="1:9" x14ac:dyDescent="0.3">
      <c r="B46" t="s">
        <v>77</v>
      </c>
      <c r="C46" s="4" t="s">
        <v>78</v>
      </c>
      <c r="D46" s="6" t="s">
        <v>109</v>
      </c>
      <c r="F46" t="s">
        <v>83</v>
      </c>
      <c r="G46" t="s">
        <v>108</v>
      </c>
    </row>
    <row r="47" spans="1:9" ht="58.2" thickBot="1" x14ac:dyDescent="0.35">
      <c r="C47" s="11" t="s">
        <v>79</v>
      </c>
      <c r="D47" s="13" t="s">
        <v>80</v>
      </c>
      <c r="F47" s="2" t="s">
        <v>85</v>
      </c>
      <c r="G47" s="2" t="s">
        <v>84</v>
      </c>
    </row>
    <row r="48" spans="1:9" ht="72" x14ac:dyDescent="0.3">
      <c r="F48" s="2" t="s">
        <v>125</v>
      </c>
      <c r="I48" t="s">
        <v>88</v>
      </c>
    </row>
    <row r="49" spans="1:10" x14ac:dyDescent="0.3">
      <c r="A49" t="s">
        <v>110</v>
      </c>
      <c r="B49" t="s">
        <v>111</v>
      </c>
      <c r="F49" t="s">
        <v>86</v>
      </c>
      <c r="G49" t="s">
        <v>87</v>
      </c>
      <c r="I49" t="s">
        <v>89</v>
      </c>
      <c r="J49" t="s">
        <v>90</v>
      </c>
    </row>
    <row r="50" spans="1:10" x14ac:dyDescent="0.3">
      <c r="B50" t="s">
        <v>126</v>
      </c>
      <c r="C50" t="s">
        <v>127</v>
      </c>
      <c r="E50">
        <v>1</v>
      </c>
      <c r="F50" cm="1">
        <f t="array" aca="1" ref="F50:F59" ca="1">_xlfn.RANDARRAY(10,1, 24,60, 1)</f>
        <v>55</v>
      </c>
      <c r="G50" cm="1">
        <f t="array" aca="1" ref="G50:G59" ca="1">_xlfn.RANDARRAY(10, 1, 50000, 100000, 0)</f>
        <v>81107.321542832884</v>
      </c>
      <c r="I50">
        <f ca="1">(F50 - AVERAGE(_xlfn.ANCHORARRAY($F$50)))/ _xlfn.STDEV.P($F$50:$F$60)</f>
        <v>1.3468340123352305</v>
      </c>
      <c r="J50">
        <f ca="1">(G50-AVERAGE(_xlfn.ANCHORARRAY($G$50))) / _xlfn.STDEV.P(_xlfn.ANCHORARRAY($G$50))</f>
        <v>0.1236553749908928</v>
      </c>
    </row>
    <row r="51" spans="1:10" ht="129.6" x14ac:dyDescent="0.3">
      <c r="B51" s="14" t="s">
        <v>129</v>
      </c>
      <c r="C51" s="3" t="s">
        <v>113</v>
      </c>
      <c r="E51">
        <v>2</v>
      </c>
      <c r="F51">
        <f ca="1"/>
        <v>45</v>
      </c>
      <c r="G51">
        <f ca="1"/>
        <v>73311.413808354177</v>
      </c>
      <c r="I51">
        <f t="shared" ref="I51:I59" ca="1" si="4">(F51 - AVERAGE(_xlfn.ANCHORARRAY($F$50)))/ _xlfn.STDEV.P($F$50:$F$60)</f>
        <v>0.39835935576112474</v>
      </c>
      <c r="J51">
        <f t="shared" ref="J51:J59" ca="1" si="5">(G51-AVERAGE(_xlfn.ANCHORARRAY($G$50))) / _xlfn.STDEV.P(_xlfn.ANCHORARRAY($G$50))</f>
        <v>-0.49530201897501402</v>
      </c>
    </row>
    <row r="52" spans="1:10" ht="43.2" x14ac:dyDescent="0.3">
      <c r="A52" t="s">
        <v>112</v>
      </c>
      <c r="B52" s="2" t="s">
        <v>117</v>
      </c>
      <c r="C52" t="s">
        <v>114</v>
      </c>
      <c r="E52">
        <v>3</v>
      </c>
      <c r="F52">
        <f ca="1"/>
        <v>26</v>
      </c>
      <c r="G52">
        <f ca="1"/>
        <v>84195.539363112126</v>
      </c>
      <c r="I52">
        <f t="shared" ca="1" si="4"/>
        <v>-1.4037424917296764</v>
      </c>
      <c r="J52">
        <f t="shared" ca="1" si="5"/>
        <v>0.36884494356227204</v>
      </c>
    </row>
    <row r="53" spans="1:10" ht="72" x14ac:dyDescent="0.3">
      <c r="B53" s="2" t="s">
        <v>118</v>
      </c>
      <c r="C53" t="s">
        <v>115</v>
      </c>
      <c r="D53" s="2" t="s">
        <v>116</v>
      </c>
      <c r="E53">
        <v>4</v>
      </c>
      <c r="F53">
        <f ca="1"/>
        <v>57</v>
      </c>
      <c r="G53">
        <f ca="1"/>
        <v>87360.200921490366</v>
      </c>
      <c r="I53">
        <f t="shared" ca="1" si="4"/>
        <v>1.5365289436500518</v>
      </c>
      <c r="J53">
        <f t="shared" ca="1" si="5"/>
        <v>0.62010377546132101</v>
      </c>
    </row>
    <row r="54" spans="1:10" ht="144.6" customHeight="1" x14ac:dyDescent="0.3">
      <c r="A54" t="s">
        <v>120</v>
      </c>
      <c r="B54" s="2" t="s">
        <v>128</v>
      </c>
      <c r="E54">
        <v>5</v>
      </c>
      <c r="F54">
        <f ca="1"/>
        <v>45</v>
      </c>
      <c r="G54">
        <f ca="1"/>
        <v>98681.89948141975</v>
      </c>
      <c r="I54">
        <f t="shared" ca="1" si="4"/>
        <v>0.39835935576112474</v>
      </c>
      <c r="J54">
        <f t="shared" ca="1" si="5"/>
        <v>1.5189919196769011</v>
      </c>
    </row>
    <row r="55" spans="1:10" x14ac:dyDescent="0.3">
      <c r="E55">
        <v>6</v>
      </c>
      <c r="F55">
        <f ca="1"/>
        <v>41</v>
      </c>
      <c r="G55">
        <f ca="1"/>
        <v>54689.403604895982</v>
      </c>
      <c r="I55">
        <f t="shared" ca="1" si="4"/>
        <v>1.8969493131482388E-2</v>
      </c>
      <c r="J55">
        <f t="shared" ca="1" si="5"/>
        <v>-1.973799622911798</v>
      </c>
    </row>
    <row r="56" spans="1:10" x14ac:dyDescent="0.3">
      <c r="A56" t="s">
        <v>121</v>
      </c>
      <c r="B56" t="s">
        <v>122</v>
      </c>
      <c r="E56">
        <v>7</v>
      </c>
      <c r="F56">
        <f ca="1"/>
        <v>44</v>
      </c>
      <c r="G56">
        <f ca="1"/>
        <v>62234.082741430888</v>
      </c>
      <c r="I56">
        <f t="shared" ca="1" si="4"/>
        <v>0.30351189010371415</v>
      </c>
      <c r="J56">
        <f t="shared" ca="1" si="5"/>
        <v>-1.3747885653532963</v>
      </c>
    </row>
    <row r="57" spans="1:10" x14ac:dyDescent="0.3">
      <c r="A57" t="s">
        <v>123</v>
      </c>
      <c r="E57">
        <v>8</v>
      </c>
      <c r="F57">
        <f ca="1"/>
        <v>28</v>
      </c>
      <c r="G57">
        <f ca="1"/>
        <v>89383.143689163</v>
      </c>
      <c r="I57">
        <f t="shared" ca="1" si="4"/>
        <v>-1.2140475604148553</v>
      </c>
      <c r="J57">
        <f t="shared" ca="1" si="5"/>
        <v>0.78071565367572604</v>
      </c>
    </row>
    <row r="58" spans="1:10" x14ac:dyDescent="0.3">
      <c r="E58">
        <v>9</v>
      </c>
      <c r="F58">
        <f ca="1"/>
        <v>41</v>
      </c>
      <c r="G58">
        <f ca="1"/>
        <v>88059.504774899557</v>
      </c>
      <c r="I58">
        <f t="shared" ca="1" si="4"/>
        <v>1.8969493131482388E-2</v>
      </c>
      <c r="J58">
        <f t="shared" ca="1" si="5"/>
        <v>0.67562512145957654</v>
      </c>
    </row>
    <row r="59" spans="1:10" x14ac:dyDescent="0.3">
      <c r="E59">
        <v>10</v>
      </c>
      <c r="F59">
        <f ca="1"/>
        <v>26</v>
      </c>
      <c r="G59">
        <f ca="1"/>
        <v>76476.032612106908</v>
      </c>
      <c r="I59">
        <f t="shared" ca="1" si="4"/>
        <v>-1.4037424917296764</v>
      </c>
      <c r="J59">
        <f t="shared" ca="1" si="5"/>
        <v>-0.24404658158658346</v>
      </c>
    </row>
    <row r="61" spans="1:10" x14ac:dyDescent="0.3">
      <c r="E61" t="s">
        <v>91</v>
      </c>
      <c r="F61">
        <f ca="1">AVERAGE(_xlfn.ANCHORARRAY(F50))</f>
        <v>40.799999999999997</v>
      </c>
      <c r="G61">
        <f ca="1">AVERAGE(_xlfn.ANCHORARRAY(G50))</f>
        <v>79549.854253970567</v>
      </c>
      <c r="I61">
        <f ca="1">AVERAGE(I50:I59)</f>
        <v>2.8865798640254071E-16</v>
      </c>
      <c r="J61">
        <f ca="1">AVERAGE(J50:J59)</f>
        <v>-2.5812685322534892E-16</v>
      </c>
    </row>
    <row r="62" spans="1:10" x14ac:dyDescent="0.3">
      <c r="E62" t="s">
        <v>92</v>
      </c>
      <c r="F62">
        <f ca="1">_xlfn.STDEV.P(_xlfn.ANCHORARRAY(F50))</f>
        <v>10.543244282477762</v>
      </c>
      <c r="G62">
        <f ca="1">_xlfn.STDEV.P(_xlfn.ANCHORARRAY(G50))</f>
        <v>12595.225148741205</v>
      </c>
      <c r="I62">
        <f ca="1">_xlfn.STDEV.P(I50:I59)</f>
        <v>1</v>
      </c>
      <c r="J62">
        <f ca="1">_xlfn.STDEV.P(J50:J59)</f>
        <v>1.0000000000000016</v>
      </c>
    </row>
    <row r="64" spans="1:10" ht="29.4" thickBot="1" x14ac:dyDescent="0.35">
      <c r="I64" t="s">
        <v>93</v>
      </c>
      <c r="J64" s="2" t="s">
        <v>94</v>
      </c>
    </row>
    <row r="65" spans="5:15" x14ac:dyDescent="0.3">
      <c r="E65" t="s">
        <v>95</v>
      </c>
      <c r="J65" s="4"/>
      <c r="K65" s="5" t="s">
        <v>104</v>
      </c>
      <c r="L65" s="5" t="s">
        <v>101</v>
      </c>
      <c r="M65" s="5" t="s">
        <v>102</v>
      </c>
      <c r="N65" s="5" t="s">
        <v>103</v>
      </c>
      <c r="O65" s="6"/>
    </row>
    <row r="66" spans="5:15" ht="72" x14ac:dyDescent="0.3">
      <c r="E66" s="2" t="s">
        <v>124</v>
      </c>
      <c r="F66" t="s">
        <v>97</v>
      </c>
      <c r="G66" s="2" t="s">
        <v>100</v>
      </c>
      <c r="J66" s="7"/>
      <c r="K66" s="8" t="s">
        <v>105</v>
      </c>
      <c r="L66" s="8">
        <v>1</v>
      </c>
      <c r="M66" s="8">
        <v>0</v>
      </c>
      <c r="N66" s="8">
        <v>0</v>
      </c>
      <c r="O66" s="9"/>
    </row>
    <row r="67" spans="5:15" ht="100.8" x14ac:dyDescent="0.3">
      <c r="E67" t="s">
        <v>99</v>
      </c>
      <c r="F67" t="s">
        <v>96</v>
      </c>
      <c r="G67" s="2" t="s">
        <v>98</v>
      </c>
      <c r="J67" s="7"/>
      <c r="K67" s="8" t="s">
        <v>106</v>
      </c>
      <c r="L67" s="8">
        <v>0</v>
      </c>
      <c r="M67" s="8">
        <v>1</v>
      </c>
      <c r="N67" s="8">
        <v>0</v>
      </c>
      <c r="O67" s="9"/>
    </row>
    <row r="68" spans="5:15" x14ac:dyDescent="0.3">
      <c r="J68" s="7"/>
      <c r="K68" s="8" t="s">
        <v>107</v>
      </c>
      <c r="L68" s="8">
        <v>0</v>
      </c>
      <c r="M68" s="8">
        <v>0</v>
      </c>
      <c r="N68" s="8">
        <v>1</v>
      </c>
      <c r="O68" s="9"/>
    </row>
    <row r="69" spans="5:15" x14ac:dyDescent="0.3">
      <c r="J69" s="7"/>
      <c r="K69" s="8" t="s">
        <v>105</v>
      </c>
      <c r="L69" s="8">
        <v>1</v>
      </c>
      <c r="M69" s="8">
        <v>0</v>
      </c>
      <c r="N69" s="8">
        <v>0</v>
      </c>
      <c r="O69" s="9"/>
    </row>
    <row r="70" spans="5:15" x14ac:dyDescent="0.3">
      <c r="J70" s="7"/>
      <c r="K70" s="8" t="s">
        <v>106</v>
      </c>
      <c r="L70" s="8">
        <v>0</v>
      </c>
      <c r="M70" s="8">
        <v>1</v>
      </c>
      <c r="N70" s="8">
        <v>0</v>
      </c>
      <c r="O70" s="9"/>
    </row>
    <row r="71" spans="5:15" ht="15" thickBot="1" x14ac:dyDescent="0.35">
      <c r="J71" s="11"/>
      <c r="K71" s="12" t="s">
        <v>107</v>
      </c>
      <c r="L71" s="12"/>
      <c r="M71" s="12">
        <v>0</v>
      </c>
      <c r="N71" s="12">
        <v>1</v>
      </c>
      <c r="O71" s="13"/>
    </row>
  </sheetData>
  <mergeCells count="3">
    <mergeCell ref="B4:C4"/>
    <mergeCell ref="B40:B43"/>
    <mergeCell ref="B34:B38"/>
  </mergeCells>
  <pageMargins left="0.7" right="0.7" top="0.75" bottom="0.75" header="0.3" footer="0.3"/>
  <pageSetup paperSize="23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2026-01-04T14:31:12Z</dcterms:created>
  <dcterms:modified xsi:type="dcterms:W3CDTF">2026-01-08T04:09:12Z</dcterms:modified>
</cp:coreProperties>
</file>
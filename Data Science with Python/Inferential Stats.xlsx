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d644cb9b03303f/Documents/Skillsoft/Python Nov 2025/"/>
    </mc:Choice>
  </mc:AlternateContent>
  <xr:revisionPtr revIDLastSave="1" documentId="8_{67C1200D-1F62-4B27-AD5E-52BC8D3674C5}" xr6:coauthVersionLast="47" xr6:coauthVersionMax="47" xr10:uidLastSave="{61BF8D5E-BBAD-454A-ADFB-D97C878E2758}"/>
  <bookViews>
    <workbookView xWindow="-108" yWindow="-108" windowWidth="23256" windowHeight="12456" xr2:uid="{0CD1E336-AB7C-49A2-BDBA-BB97A641B1DD}"/>
  </bookViews>
  <sheets>
    <sheet name="Inferential 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4" i="1" l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63" i="1"/>
  <c r="E63" i="1"/>
  <c r="E64" i="1"/>
  <c r="E65" i="1"/>
  <c r="E66" i="1"/>
  <c r="E67" i="1"/>
  <c r="E68" i="1"/>
  <c r="E69" i="1"/>
  <c r="E70" i="1"/>
  <c r="E71" i="1"/>
  <c r="E72" i="1"/>
  <c r="E73" i="1"/>
  <c r="E62" i="1"/>
  <c r="H37" i="1"/>
  <c r="H36" i="1"/>
  <c r="H35" i="1"/>
  <c r="H34" i="1"/>
  <c r="H33" i="1"/>
  <c r="H32" i="1"/>
  <c r="H31" i="1"/>
  <c r="H30" i="1"/>
  <c r="H29" i="1"/>
  <c r="H28" i="1"/>
  <c r="F37" i="1"/>
  <c r="F36" i="1"/>
  <c r="F35" i="1"/>
  <c r="F34" i="1"/>
  <c r="F33" i="1"/>
  <c r="F32" i="1"/>
  <c r="F31" i="1"/>
  <c r="F30" i="1"/>
  <c r="F29" i="1"/>
  <c r="F28" i="1"/>
  <c r="K7" i="1"/>
  <c r="K8" i="1"/>
  <c r="K9" i="1"/>
  <c r="K10" i="1"/>
  <c r="K11" i="1"/>
  <c r="K12" i="1"/>
  <c r="K13" i="1"/>
  <c r="K14" i="1"/>
  <c r="K15" i="1"/>
  <c r="K6" i="1"/>
  <c r="J7" i="1"/>
  <c r="J8" i="1"/>
  <c r="J9" i="1"/>
  <c r="J10" i="1"/>
  <c r="J11" i="1"/>
  <c r="J12" i="1"/>
  <c r="J13" i="1"/>
  <c r="J14" i="1"/>
  <c r="J15" i="1"/>
  <c r="J6" i="1"/>
  <c r="M63" i="1" l="1"/>
  <c r="N64" i="1"/>
  <c r="N63" i="1"/>
  <c r="M64" i="1"/>
  <c r="I29" i="1"/>
  <c r="I30" i="1"/>
  <c r="I31" i="1"/>
  <c r="I32" i="1"/>
  <c r="I35" i="1"/>
  <c r="I36" i="1"/>
  <c r="I37" i="1"/>
  <c r="I28" i="1"/>
  <c r="I34" i="1"/>
  <c r="I33" i="1"/>
  <c r="G29" i="1"/>
  <c r="G30" i="1"/>
  <c r="G31" i="1"/>
  <c r="G32" i="1"/>
  <c r="G33" i="1"/>
  <c r="G35" i="1"/>
  <c r="G36" i="1"/>
  <c r="G37" i="1"/>
  <c r="G34" i="1"/>
  <c r="G28" i="1"/>
  <c r="N18" i="1"/>
  <c r="N17" i="1"/>
  <c r="K17" i="1"/>
  <c r="J18" i="1"/>
  <c r="K18" i="1"/>
  <c r="J17" i="1"/>
  <c r="O64" i="1" l="1"/>
  <c r="N65" i="1"/>
  <c r="O63" i="1"/>
  <c r="M65" i="1"/>
  <c r="I39" i="1"/>
  <c r="I38" i="1"/>
  <c r="G38" i="1"/>
  <c r="G39" i="1"/>
  <c r="P20" i="1"/>
  <c r="L6" i="1"/>
  <c r="M6" i="1" s="1"/>
  <c r="L15" i="1"/>
  <c r="M15" i="1" s="1"/>
  <c r="L12" i="1"/>
  <c r="M12" i="1" s="1"/>
  <c r="L13" i="1"/>
  <c r="M13" i="1" s="1"/>
  <c r="L14" i="1"/>
  <c r="M14" i="1" s="1"/>
  <c r="L9" i="1"/>
  <c r="M9" i="1" s="1"/>
  <c r="L10" i="1"/>
  <c r="M10" i="1" s="1"/>
  <c r="L11" i="1"/>
  <c r="M11" i="1" s="1"/>
  <c r="L8" i="1"/>
  <c r="M8" i="1" s="1"/>
  <c r="L7" i="1"/>
  <c r="M7" i="1" s="1"/>
  <c r="M71" i="1" l="1"/>
  <c r="M77" i="1" s="1"/>
  <c r="N71" i="1"/>
  <c r="N77" i="1" s="1"/>
  <c r="N70" i="1"/>
  <c r="M70" i="1"/>
  <c r="M76" i="1" s="1"/>
  <c r="M17" i="1"/>
  <c r="M18" i="1" s="1"/>
  <c r="P21" i="1" s="1"/>
  <c r="N72" i="1" l="1"/>
  <c r="N76" i="1"/>
  <c r="M81" i="1" s="1"/>
  <c r="O71" i="1"/>
  <c r="O70" i="1"/>
  <c r="M72" i="1"/>
  <c r="M20" i="1"/>
  <c r="M21" i="1"/>
</calcChain>
</file>

<file path=xl/sharedStrings.xml><?xml version="1.0" encoding="utf-8"?>
<sst xmlns="http://schemas.openxmlformats.org/spreadsheetml/2006/main" count="136" uniqueCount="97">
  <si>
    <t>Population</t>
  </si>
  <si>
    <t>Sample</t>
  </si>
  <si>
    <t>The complete data
that could possibly
be there or that 
could possibly be
collected (complete 
data)</t>
  </si>
  <si>
    <t>Fraction of
a population</t>
  </si>
  <si>
    <t>Inferential
Stats</t>
  </si>
  <si>
    <t>Goal: To generalize the 
findings of sample on
population.</t>
  </si>
  <si>
    <t>Why that's required?
1. We don't have the resources
to collect the complete
population.
2.Even if we have complete
data, we will be working with
a sample of it due to
confidential and privacy reasons, 
or computation.</t>
  </si>
  <si>
    <t>Central Tendencies</t>
  </si>
  <si>
    <t>Measures of Dispersion</t>
  </si>
  <si>
    <r>
      <rPr>
        <b/>
        <sz val="11"/>
        <color theme="1"/>
        <rFont val="Calibri"/>
        <family val="2"/>
        <scheme val="minor"/>
      </rPr>
      <t xml:space="preserve">Variance
Std. Deviation
</t>
    </r>
    <r>
      <rPr>
        <sz val="11"/>
        <color theme="1"/>
        <rFont val="Calibri"/>
        <family val="2"/>
        <scheme val="minor"/>
      </rPr>
      <t>Range
IQR</t>
    </r>
  </si>
  <si>
    <t>Q. Compare the salary of working analytics professionals
in NY &amp; WA</t>
  </si>
  <si>
    <t xml:space="preserve">Numeric Data:
Mean
Median
Non - numeric Data:
Mode
</t>
  </si>
  <si>
    <t>Central tendencies 
doesn't provide a 
hollistic view.</t>
  </si>
  <si>
    <t>Gives a hollistic view of the data.</t>
  </si>
  <si>
    <t>Salary</t>
  </si>
  <si>
    <t>Employee ID</t>
  </si>
  <si>
    <t>% (appraisal)</t>
  </si>
  <si>
    <t>Average</t>
  </si>
  <si>
    <t>Median</t>
  </si>
  <si>
    <t>Salary (x-avg(x))</t>
  </si>
  <si>
    <t>Salary (x-avg(x))^2</t>
  </si>
  <si>
    <t>Variance</t>
  </si>
  <si>
    <t>Std. Dev.</t>
  </si>
  <si>
    <t>mean + Std. Dev</t>
  </si>
  <si>
    <t>mean - Std. Dev</t>
  </si>
  <si>
    <t>Distributions</t>
  </si>
  <si>
    <t>mean - 2 * std. Dev.</t>
  </si>
  <si>
    <t>mean + 2 * std. Dev.</t>
  </si>
  <si>
    <t>Uniform</t>
  </si>
  <si>
    <t>Exponential</t>
  </si>
  <si>
    <t>Poisson</t>
  </si>
  <si>
    <t>Binomial</t>
  </si>
  <si>
    <t>Property:
1. Mean = median = mode
2. 68-95-99.7 rule 
 1 SD away: 68.3% of data
 2 SD away: 95.4% of data
 4 SD away: 99.7 % of data</t>
  </si>
  <si>
    <t>CTL (Central limit 
theorem)
 theorem - 
It makes the normal
distribution most prominent one.</t>
  </si>
  <si>
    <t>z-score_salary = 
(x - mean) / std. dev.</t>
  </si>
  <si>
    <t>z-score_appraisal = 
(x - mean) / std. dev.</t>
  </si>
  <si>
    <t>Benefits of z-score
1. It strips any units
associated with data
2. It will bring the 
data on a lower 
scale with mean ~0 
and std. dev as ~1</t>
  </si>
  <si>
    <t>Normal Distribution
(Bell curve/Gaussian distribution)
Standard Normal
Distribution
mean = 0, Std. Dev. = 1</t>
  </si>
  <si>
    <t>Confidence Interval (CIs)</t>
  </si>
  <si>
    <t xml:space="preserve"> Null hypothesis area</t>
  </si>
  <si>
    <t>90% CI = mean + 1.640SE
95% CI = mean + 1.96SE
99% CI = mean + 2.576SE
SE = SD / SQRT(n)</t>
  </si>
  <si>
    <t>1-CI = p_value</t>
  </si>
  <si>
    <t>Under null hypothesis model, probability that the given value
will lie outside the CI range.</t>
  </si>
  <si>
    <t>Hypothesis testing</t>
  </si>
  <si>
    <t>Q. Salary of working analytics
professional is higher in NY
compared to WA</t>
  </si>
  <si>
    <t>Q. The new drug for migraines
is effective</t>
  </si>
  <si>
    <t>One tailed hypothesis testing</t>
  </si>
  <si>
    <t>Two-tailed hypothesis testing</t>
  </si>
  <si>
    <t>Q. The new policies that are being laid out would have an 
impact on society.</t>
  </si>
  <si>
    <t>1. z-test/t-test</t>
  </si>
  <si>
    <t>2. ANOVA(analysis of variance)</t>
  </si>
  <si>
    <t>3. Chi-Square test</t>
  </si>
  <si>
    <t>4. Correlation test (Pearsons's/
Spearman's)</t>
  </si>
  <si>
    <t xml:space="preserve"> rejection region / Alternative
hypothesis area/ alpha region/significance level
(Standard - 5%)</t>
  </si>
  <si>
    <t>Statistical Tests used for 
hypothesis testing (explore)</t>
  </si>
  <si>
    <t>Numerical Variables
1. Compare mean of 2 samples
2. Compare mean of population with a sample</t>
  </si>
  <si>
    <t>Numerical variables
1. Compare means of more than 2 samples
2. 1 or more categorical vs continuous variables</t>
  </si>
  <si>
    <t>Diet Plan</t>
  </si>
  <si>
    <t>Fat loss measure</t>
  </si>
  <si>
    <t>A</t>
  </si>
  <si>
    <t>B</t>
  </si>
  <si>
    <t>C</t>
  </si>
  <si>
    <t>Relationship between 2 Categorical variables</t>
  </si>
  <si>
    <t>1. Relationship between 2 numerical variables 
- Pearson's Correlation
2. Relationship between 1 numerical and 1 categorical
variable - Spearman's correlation</t>
  </si>
  <si>
    <t>Hypothesis testing steps</t>
  </si>
  <si>
    <t>1. Having a business problem that can be converted to
statistical problem.</t>
  </si>
  <si>
    <t xml:space="preserve">2. Define the null and alternative hypothesis
Null hypothesis - status quo/baseline
Alternative hypothesis - claim that we are making
</t>
  </si>
  <si>
    <t>3. Define the significance level (standard alpha is 5%)</t>
  </si>
  <si>
    <t>4. Define the rejection rule</t>
  </si>
  <si>
    <t>Outputs</t>
  </si>
  <si>
    <t>statistical value, p-value</t>
  </si>
  <si>
    <t>critical value</t>
  </si>
  <si>
    <t>compare p_value with alpha</t>
  </si>
  <si>
    <t>p_value &lt; alpha, reject the null hypothesis</t>
  </si>
  <si>
    <t>p_value &gt; alpha, fail to reject the null hypothesis</t>
  </si>
  <si>
    <t>compare the statistical value with critical value</t>
  </si>
  <si>
    <t>statistical_value &gt; critical value,
reject the null hypothesis</t>
  </si>
  <si>
    <t>statistical_value &lt; critical value,
fail to reject the null hypothesis</t>
  </si>
  <si>
    <t>5. Conduct the test</t>
  </si>
  <si>
    <t>6. Do the comparison; conclude the results.</t>
  </si>
  <si>
    <t>Degrees of freedom(dof)</t>
  </si>
  <si>
    <t>n-1</t>
  </si>
  <si>
    <t>a + b + c = 20</t>
  </si>
  <si>
    <t>If there is a relationship between gender and smoking</t>
  </si>
  <si>
    <t>Gender</t>
  </si>
  <si>
    <t>Smoking</t>
  </si>
  <si>
    <t>M</t>
  </si>
  <si>
    <t>F</t>
  </si>
  <si>
    <t>Gender\Smoking</t>
  </si>
  <si>
    <t>Chi-square</t>
  </si>
  <si>
    <t>Observed freq table</t>
  </si>
  <si>
    <t>row_total * col_total / grand total</t>
  </si>
  <si>
    <t>Expected Freq table
Calcualted to see how the data
looks like if we don't have any
relationship between variables
in question</t>
  </si>
  <si>
    <t>(Observerd - Expected)^2 / Expected</t>
  </si>
  <si>
    <t>Chi square table</t>
  </si>
  <si>
    <t>Final Chi-square
value</t>
  </si>
  <si>
    <t>dof = (m-1) * (n-1)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</si>
</sst>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0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'Inferential Stats'!$F$27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'Inferential Stats'!$F$28:$F$37</c:f>
              <c:numCache>
                <c:formatCode>General</c:formatCode>
                <c:ptCount val="10"/>
                <c:pt idx="0">
                  <c:v>1273</c:v>
                </c:pt>
                <c:pt idx="1">
                  <c:v>9357</c:v>
                </c:pt>
                <c:pt idx="2">
                  <c:v>3642</c:v>
                </c:pt>
                <c:pt idx="3">
                  <c:v>1615</c:v>
                </c:pt>
                <c:pt idx="4">
                  <c:v>7782</c:v>
                </c:pt>
                <c:pt idx="5">
                  <c:v>6790</c:v>
                </c:pt>
                <c:pt idx="6">
                  <c:v>3451</c:v>
                </c:pt>
                <c:pt idx="7">
                  <c:v>8397</c:v>
                </c:pt>
                <c:pt idx="8">
                  <c:v>5577</c:v>
                </c:pt>
                <c:pt idx="9">
                  <c:v>3534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E-43C5-BC8A-51CEE13E7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899679"/>
        <c:axId val="1656854623"/>
      </c:lineChart>
      <c:lineChart>
        <c:grouping val="standard"/>
        <c:varyColors val="0"/>
        <c:ser>
          <c:idx val="1"/>
          <c:order val="1"/>
          <c:tx>
            <c:strRef>
              <c:f>'Inferential Stats'!$H$27</c:f>
              <c:strCache>
                <c:ptCount val="1"/>
                <c:pt idx="0">
                  <c:v>% (appraisal)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'Inferential Stats'!$H$28:$H$37</c:f>
              <c:numCache>
                <c:formatCode>General</c:formatCode>
                <c:ptCount val="10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14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0E-43C5-BC8A-51CEE13E7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850687"/>
        <c:axId val="1490854015"/>
      </c:lineChart>
      <c:catAx>
        <c:axId val="1655899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854623"/>
        <c:crosses val="autoZero"/>
        <c:auto val="1"/>
        <c:lblAlgn val="ctr"/>
        <c:lblOffset val="100"/>
        <c:noMultiLvlLbl val="0"/>
      </c:catAx>
      <c:valAx>
        <c:axId val="16568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899679"/>
        <c:crosses val="autoZero"/>
        <c:crossBetween val="between"/>
      </c:valAx>
      <c:valAx>
        <c:axId val="14908540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50687"/>
        <c:crosses val="max"/>
        <c:crossBetween val="between"/>
      </c:valAx>
      <c:catAx>
        <c:axId val="1490850687"/>
        <c:scaling>
          <c:orientation val="minMax"/>
        </c:scaling>
        <c:delete val="1"/>
        <c:axPos val="b"/>
        <c:majorTickMark val="out"/>
        <c:minorTickMark val="none"/>
        <c:tickLblPos val="nextTo"/>
        <c:crossAx val="1490854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'Inferential Stats'!$G$27</c:f>
              <c:strCache>
                <c:ptCount val="1"/>
                <c:pt idx="0">
                  <c:v>z-score_salary = 
(x - mean) / std. dev.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'Inferential Stats'!$G$28:$G$37</c:f>
              <c:numCache>
                <c:formatCode>General</c:formatCode>
                <c:ptCount val="10"/>
                <c:pt idx="0">
                  <c:v>-1.4285840142785851</c:v>
                </c:pt>
                <c:pt idx="1">
                  <c:v>1.5564948658465394</c:v>
                </c:pt>
                <c:pt idx="2">
                  <c:v>-0.55381263043192264</c:v>
                </c:pt>
                <c:pt idx="3">
                  <c:v>-1.3022978963910552</c:v>
                </c:pt>
                <c:pt idx="4">
                  <c:v>0.97491405978554591</c:v>
                </c:pt>
                <c:pt idx="5">
                  <c:v>0.60861046638078053</c:v>
                </c:pt>
                <c:pt idx="6">
                  <c:v>-0.62434084246852561</c:v>
                </c:pt>
                <c:pt idx="7">
                  <c:v>1.2020075173903149</c:v>
                </c:pt>
                <c:pt idx="8">
                  <c:v>0.16070093130015509</c:v>
                </c:pt>
                <c:pt idx="9">
                  <c:v>-0.59369245713324792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E-4F98-B98E-D53D7D258131}"/>
            </c:ext>
          </c:extLst>
        </c:ser>
        <c:ser>
          <c:idx val="1"/>
          <c:order val="1"/>
          <c:tx>
            <c:strRef>
              <c:f>'Inferential Stats'!$I$27</c:f>
              <c:strCache>
                <c:ptCount val="1"/>
                <c:pt idx="0">
                  <c:v>z-score_appraisal = 
(x - mean) / std. dev.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'Inferential Stats'!$I$28:$I$37</c:f>
              <c:numCache>
                <c:formatCode>General</c:formatCode>
                <c:ptCount val="10"/>
                <c:pt idx="0">
                  <c:v>-1.0613372610104648</c:v>
                </c:pt>
                <c:pt idx="1">
                  <c:v>-0.30323921743156129</c:v>
                </c:pt>
                <c:pt idx="2">
                  <c:v>0.83390784793679384</c:v>
                </c:pt>
                <c:pt idx="3">
                  <c:v>-0.30323921743156129</c:v>
                </c:pt>
                <c:pt idx="4">
                  <c:v>0.45485882614734213</c:v>
                </c:pt>
                <c:pt idx="5">
                  <c:v>-1.0613372610104648</c:v>
                </c:pt>
                <c:pt idx="6">
                  <c:v>-0.682288239221013</c:v>
                </c:pt>
                <c:pt idx="7">
                  <c:v>-0.682288239221013</c:v>
                </c:pt>
                <c:pt idx="8">
                  <c:v>2.3501039350946007</c:v>
                </c:pt>
                <c:pt idx="9">
                  <c:v>0.45485882614734213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E-4F98-B98E-D53D7D25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820255"/>
        <c:axId val="1748821087"/>
      </c:lineChart>
      <c:catAx>
        <c:axId val="1748820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21087"/>
        <c:crosses val="autoZero"/>
        <c:auto val="1"/>
        <c:lblAlgn val="ctr"/>
        <c:lblOffset val="100"/>
        <c:noMultiLvlLbl val="0"/>
      </c:catAx>
      <c:valAx>
        <c:axId val="174882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42</xdr:row>
      <xdr:rowOff>118110</xdr:rowOff>
    </xdr:from>
    <xdr:to>
      <xdr:col>8</xdr:col>
      <xdr:colOff>45720</xdr:colOff>
      <xdr:row>57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403FC-38F6-4E35-AB03-A26EEEE82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129540</xdr:colOff>
      <xdr:row>42</xdr:row>
      <xdr:rowOff>102870</xdr:rowOff>
    </xdr:from>
    <xdr:to>
      <xdr:col>13</xdr:col>
      <xdr:colOff>403860</xdr:colOff>
      <xdr:row>57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24F398-2944-4E0B-9467-BFC642D4C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DB55-F48B-42C4-B359-C489B8948987}">
  <dimension ref="A1:P81"/>
  <sheetViews>
    <sheetView tabSelected="1" topLeftCell="B1" zoomScale="81" zoomScaleNormal="90" workbookViewId="0">
      <selection activeCell="E42" sqref="E41:E42"/>
    </sheetView>
  </sheetViews>
  <sheetFormatPr defaultRowHeight="14.4" x14ac:dyDescent="0.3"/>
  <cols>
    <col min="1" max="1" width="54.88671875" bestFit="1" customWidth="1"/>
    <col min="2" max="2" width="42.109375" customWidth="1"/>
    <col min="3" max="3" width="25.109375" bestFit="1" customWidth="1"/>
    <col min="4" max="4" width="32.109375" customWidth="1"/>
    <col min="5" max="5" width="15.6640625" bestFit="1" customWidth="1"/>
    <col min="7" max="7" width="16.88671875" customWidth="1"/>
    <col min="8" max="8" width="11.33203125" bestFit="1" customWidth="1"/>
    <col min="9" max="9" width="12.6640625" bestFit="1" customWidth="1"/>
    <col min="11" max="11" width="30.88671875" bestFit="1" customWidth="1"/>
    <col min="12" max="12" width="13.88671875" bestFit="1" customWidth="1"/>
    <col min="13" max="13" width="15.88671875" bestFit="1" customWidth="1"/>
  </cols>
  <sheetData>
    <row r="1" spans="1:13" ht="216" x14ac:dyDescent="0.3">
      <c r="A1" s="1" t="s">
        <v>4</v>
      </c>
      <c r="B1" s="1" t="s">
        <v>5</v>
      </c>
      <c r="D1" s="1" t="s">
        <v>6</v>
      </c>
    </row>
    <row r="2" spans="1:13" x14ac:dyDescent="0.3">
      <c r="B2" t="s">
        <v>0</v>
      </c>
      <c r="D2" t="s">
        <v>1</v>
      </c>
    </row>
    <row r="4" spans="1:13" ht="82.2" customHeight="1" x14ac:dyDescent="0.3">
      <c r="B4" s="1" t="s">
        <v>2</v>
      </c>
      <c r="D4" s="1" t="s">
        <v>3</v>
      </c>
    </row>
    <row r="5" spans="1:13" x14ac:dyDescent="0.3">
      <c r="I5" t="s">
        <v>15</v>
      </c>
      <c r="J5" t="s">
        <v>14</v>
      </c>
      <c r="K5" t="s">
        <v>16</v>
      </c>
      <c r="L5" t="s">
        <v>19</v>
      </c>
      <c r="M5" t="s">
        <v>20</v>
      </c>
    </row>
    <row r="6" spans="1:13" ht="80.400000000000006" customHeight="1" x14ac:dyDescent="0.3">
      <c r="A6" t="s">
        <v>7</v>
      </c>
      <c r="B6" s="1" t="s">
        <v>11</v>
      </c>
      <c r="D6" s="1" t="s">
        <v>10</v>
      </c>
      <c r="I6">
        <v>1</v>
      </c>
      <c r="J6">
        <f ca="1">RANDBETWEEN(1000,10000)</f>
        <v>6855</v>
      </c>
      <c r="K6">
        <f ca="1">RANDBETWEEN(5,15)</f>
        <v>8</v>
      </c>
      <c r="L6">
        <f ca="1">J6-$J$17</f>
        <v>845.60000000000036</v>
      </c>
      <c r="M6">
        <f ca="1">POWER(L6,2)</f>
        <v>715039.36000000057</v>
      </c>
    </row>
    <row r="7" spans="1:13" ht="43.2" x14ac:dyDescent="0.3">
      <c r="A7" s="1" t="s">
        <v>12</v>
      </c>
      <c r="I7">
        <v>2</v>
      </c>
      <c r="J7">
        <f t="shared" ref="J7:J15" ca="1" si="0">RANDBETWEEN(1000,10000)</f>
        <v>9750</v>
      </c>
      <c r="K7">
        <f t="shared" ref="K7:K15" ca="1" si="1">RANDBETWEEN(5,15)</f>
        <v>8</v>
      </c>
      <c r="L7">
        <f t="shared" ref="L7:L15" ca="1" si="2">J7-$J$17</f>
        <v>3740.6000000000004</v>
      </c>
      <c r="M7">
        <f t="shared" ref="M7:M15" ca="1" si="3">POWER(L7,2)</f>
        <v>13992088.360000003</v>
      </c>
    </row>
    <row r="8" spans="1:13" ht="57.6" x14ac:dyDescent="0.3">
      <c r="A8" t="s">
        <v>8</v>
      </c>
      <c r="B8" s="1" t="s">
        <v>9</v>
      </c>
      <c r="D8" t="s">
        <v>13</v>
      </c>
      <c r="I8">
        <v>3</v>
      </c>
      <c r="J8">
        <f t="shared" ca="1" si="0"/>
        <v>8757</v>
      </c>
      <c r="K8">
        <f t="shared" ca="1" si="1"/>
        <v>12</v>
      </c>
      <c r="L8">
        <f t="shared" ca="1" si="2"/>
        <v>2747.6000000000004</v>
      </c>
      <c r="M8">
        <f t="shared" ca="1" si="3"/>
        <v>7549305.7600000016</v>
      </c>
    </row>
    <row r="9" spans="1:13" x14ac:dyDescent="0.3">
      <c r="I9">
        <v>4</v>
      </c>
      <c r="J9">
        <f t="shared" ca="1" si="0"/>
        <v>3714</v>
      </c>
      <c r="K9">
        <f t="shared" ca="1" si="1"/>
        <v>5</v>
      </c>
      <c r="L9">
        <f t="shared" ca="1" si="2"/>
        <v>-2295.3999999999996</v>
      </c>
      <c r="M9">
        <f t="shared" ca="1" si="3"/>
        <v>5268861.1599999983</v>
      </c>
    </row>
    <row r="10" spans="1:13" x14ac:dyDescent="0.3">
      <c r="I10">
        <v>5</v>
      </c>
      <c r="J10">
        <f t="shared" ca="1" si="0"/>
        <v>7116</v>
      </c>
      <c r="K10">
        <f t="shared" ca="1" si="1"/>
        <v>11</v>
      </c>
      <c r="L10">
        <f t="shared" ca="1" si="2"/>
        <v>1106.6000000000004</v>
      </c>
      <c r="M10">
        <f t="shared" ca="1" si="3"/>
        <v>1224563.5600000008</v>
      </c>
    </row>
    <row r="11" spans="1:13" x14ac:dyDescent="0.3">
      <c r="I11">
        <v>6</v>
      </c>
      <c r="J11">
        <f t="shared" ca="1" si="0"/>
        <v>1475</v>
      </c>
      <c r="K11">
        <f t="shared" ca="1" si="1"/>
        <v>7</v>
      </c>
      <c r="L11">
        <f t="shared" ca="1" si="2"/>
        <v>-4534.3999999999996</v>
      </c>
      <c r="M11">
        <f t="shared" ca="1" si="3"/>
        <v>20560783.359999996</v>
      </c>
    </row>
    <row r="12" spans="1:13" x14ac:dyDescent="0.3">
      <c r="I12">
        <v>7</v>
      </c>
      <c r="J12">
        <f t="shared" ca="1" si="0"/>
        <v>5087</v>
      </c>
      <c r="K12">
        <f t="shared" ca="1" si="1"/>
        <v>7</v>
      </c>
      <c r="L12">
        <f t="shared" ca="1" si="2"/>
        <v>-922.39999999999964</v>
      </c>
      <c r="M12">
        <f t="shared" ca="1" si="3"/>
        <v>850821.75999999931</v>
      </c>
    </row>
    <row r="13" spans="1:13" x14ac:dyDescent="0.3">
      <c r="I13">
        <v>8</v>
      </c>
      <c r="J13">
        <f t="shared" ca="1" si="0"/>
        <v>5205</v>
      </c>
      <c r="K13">
        <f t="shared" ca="1" si="1"/>
        <v>14</v>
      </c>
      <c r="L13">
        <f t="shared" ca="1" si="2"/>
        <v>-804.39999999999964</v>
      </c>
      <c r="M13">
        <f t="shared" ca="1" si="3"/>
        <v>647059.3599999994</v>
      </c>
    </row>
    <row r="14" spans="1:13" x14ac:dyDescent="0.3">
      <c r="I14">
        <v>9</v>
      </c>
      <c r="J14">
        <f t="shared" ca="1" si="0"/>
        <v>3065</v>
      </c>
      <c r="K14">
        <f t="shared" ca="1" si="1"/>
        <v>13</v>
      </c>
      <c r="L14">
        <f t="shared" ca="1" si="2"/>
        <v>-2944.3999999999996</v>
      </c>
      <c r="M14">
        <f t="shared" ca="1" si="3"/>
        <v>8669491.3599999975</v>
      </c>
    </row>
    <row r="15" spans="1:13" x14ac:dyDescent="0.3">
      <c r="I15">
        <v>10</v>
      </c>
      <c r="J15">
        <f t="shared" ca="1" si="0"/>
        <v>9070</v>
      </c>
      <c r="K15">
        <f t="shared" ca="1" si="1"/>
        <v>8</v>
      </c>
      <c r="L15">
        <f t="shared" ca="1" si="2"/>
        <v>3060.6000000000004</v>
      </c>
      <c r="M15">
        <f t="shared" ca="1" si="3"/>
        <v>9367272.3600000031</v>
      </c>
    </row>
    <row r="17" spans="1:16" x14ac:dyDescent="0.3">
      <c r="I17" t="s">
        <v>17</v>
      </c>
      <c r="J17">
        <f ca="1">AVERAGE(J6:J15)</f>
        <v>6009.4</v>
      </c>
      <c r="K17">
        <f ca="1">AVERAGE(K6:K15)</f>
        <v>9.3000000000000007</v>
      </c>
      <c r="L17" t="s">
        <v>21</v>
      </c>
      <c r="M17">
        <f ca="1">SUM(M6:M15)/COUNT(I6:I15)</f>
        <v>6884528.6400000006</v>
      </c>
      <c r="N17">
        <f ca="1">_xlfn.VAR.P(J6:J15)</f>
        <v>6884528.6399999997</v>
      </c>
    </row>
    <row r="18" spans="1:16" x14ac:dyDescent="0.3">
      <c r="I18" t="s">
        <v>18</v>
      </c>
      <c r="J18">
        <f ca="1">MEDIAN(J6:J15)</f>
        <v>6030</v>
      </c>
      <c r="K18">
        <f ca="1">MEDIAN(K6:K15)</f>
        <v>8</v>
      </c>
      <c r="L18" t="s">
        <v>22</v>
      </c>
      <c r="M18">
        <f ca="1">SQRT(M17)</f>
        <v>2623.8385316173708</v>
      </c>
      <c r="N18">
        <f ca="1">_xlfn.STDEV.P(J6:J15)</f>
        <v>2623.8385316173708</v>
      </c>
    </row>
    <row r="20" spans="1:16" x14ac:dyDescent="0.3">
      <c r="L20" t="s">
        <v>23</v>
      </c>
      <c r="M20">
        <f ca="1">J17+M18</f>
        <v>8633.2385316173713</v>
      </c>
      <c r="O20" t="s">
        <v>27</v>
      </c>
      <c r="P20">
        <f ca="1" xml:space="preserve"> J17 + 2*N18</f>
        <v>11257.077063234741</v>
      </c>
    </row>
    <row r="21" spans="1:16" x14ac:dyDescent="0.3">
      <c r="L21" t="s">
        <v>24</v>
      </c>
      <c r="M21">
        <f ca="1">J17-M18</f>
        <v>3385.5614683826288</v>
      </c>
      <c r="O21" t="s">
        <v>26</v>
      </c>
      <c r="P21">
        <f ca="1">J17-2*M18</f>
        <v>761.72293676525805</v>
      </c>
    </row>
    <row r="24" spans="1:16" x14ac:dyDescent="0.3">
      <c r="A24" t="s">
        <v>25</v>
      </c>
    </row>
    <row r="26" spans="1:16" ht="115.2" x14ac:dyDescent="0.3">
      <c r="A26" s="1" t="s">
        <v>37</v>
      </c>
      <c r="B26" s="1" t="s">
        <v>32</v>
      </c>
      <c r="C26" s="1" t="s">
        <v>33</v>
      </c>
      <c r="G26" s="1" t="s">
        <v>36</v>
      </c>
    </row>
    <row r="27" spans="1:16" ht="72" x14ac:dyDescent="0.3">
      <c r="E27" t="s">
        <v>15</v>
      </c>
      <c r="F27" t="s">
        <v>14</v>
      </c>
      <c r="G27" s="1" t="s">
        <v>34</v>
      </c>
      <c r="H27" t="s">
        <v>16</v>
      </c>
      <c r="I27" s="1" t="s">
        <v>35</v>
      </c>
    </row>
    <row r="28" spans="1:16" x14ac:dyDescent="0.3">
      <c r="A28" t="s">
        <v>28</v>
      </c>
      <c r="E28">
        <v>1</v>
      </c>
      <c r="F28">
        <f ca="1">RANDBETWEEN(1000,10000)</f>
        <v>1273</v>
      </c>
      <c r="G28">
        <f ca="1">(F28-AVERAGE($F$28:$F$37) )/ _xlfn.STDEV.P($F$28:$F$37)</f>
        <v>-1.4285840142785851</v>
      </c>
      <c r="H28">
        <f ca="1">RANDBETWEEN(5,15)</f>
        <v>5</v>
      </c>
      <c r="I28">
        <f ca="1">(H28-AVERAGE($H$28:$H$37) )/ _xlfn.STDEV.P($H$28:$H$37)</f>
        <v>-1.0613372610104648</v>
      </c>
    </row>
    <row r="29" spans="1:16" x14ac:dyDescent="0.3">
      <c r="A29" t="s">
        <v>29</v>
      </c>
      <c r="E29">
        <v>2</v>
      </c>
      <c r="F29">
        <f t="shared" ref="F29:F37" ca="1" si="4">RANDBETWEEN(1000,10000)</f>
        <v>9357</v>
      </c>
      <c r="G29">
        <f t="shared" ref="G29:G37" ca="1" si="5">(F29-AVERAGE($F$28:$F$37) )/ _xlfn.STDEV.P($F$28:$F$37)</f>
        <v>1.5564948658465394</v>
      </c>
      <c r="H29">
        <f t="shared" ref="H29:H37" ca="1" si="6">RANDBETWEEN(5,15)</f>
        <v>7</v>
      </c>
      <c r="I29">
        <f t="shared" ref="I29:I37" ca="1" si="7">(H29-AVERAGE($H$28:$H$37) )/ _xlfn.STDEV.P($H$28:$H$37)</f>
        <v>-0.30323921743156129</v>
      </c>
    </row>
    <row r="30" spans="1:16" x14ac:dyDescent="0.3">
      <c r="A30" t="s">
        <v>30</v>
      </c>
      <c r="E30">
        <v>3</v>
      </c>
      <c r="F30">
        <f t="shared" ca="1" si="4"/>
        <v>3642</v>
      </c>
      <c r="G30">
        <f t="shared" ca="1" si="5"/>
        <v>-0.55381263043192264</v>
      </c>
      <c r="H30">
        <f t="shared" ca="1" si="6"/>
        <v>10</v>
      </c>
      <c r="I30">
        <f t="shared" ca="1" si="7"/>
        <v>0.83390784793679384</v>
      </c>
    </row>
    <row r="31" spans="1:16" x14ac:dyDescent="0.3">
      <c r="A31" t="s">
        <v>31</v>
      </c>
      <c r="E31">
        <v>4</v>
      </c>
      <c r="F31">
        <f t="shared" ca="1" si="4"/>
        <v>1615</v>
      </c>
      <c r="G31">
        <f t="shared" ca="1" si="5"/>
        <v>-1.3022978963910552</v>
      </c>
      <c r="H31">
        <f t="shared" ca="1" si="6"/>
        <v>7</v>
      </c>
      <c r="I31">
        <f t="shared" ca="1" si="7"/>
        <v>-0.30323921743156129</v>
      </c>
    </row>
    <row r="32" spans="1:16" x14ac:dyDescent="0.3">
      <c r="E32">
        <v>5</v>
      </c>
      <c r="F32">
        <f t="shared" ca="1" si="4"/>
        <v>7782</v>
      </c>
      <c r="G32">
        <f t="shared" ca="1" si="5"/>
        <v>0.97491405978554591</v>
      </c>
      <c r="H32">
        <f t="shared" ca="1" si="6"/>
        <v>9</v>
      </c>
      <c r="I32">
        <f t="shared" ca="1" si="7"/>
        <v>0.45485882614734213</v>
      </c>
    </row>
    <row r="33" spans="1:9" x14ac:dyDescent="0.3">
      <c r="A33" t="s">
        <v>38</v>
      </c>
      <c r="B33" t="s">
        <v>39</v>
      </c>
      <c r="E33">
        <v>6</v>
      </c>
      <c r="F33">
        <f t="shared" ca="1" si="4"/>
        <v>6790</v>
      </c>
      <c r="G33">
        <f t="shared" ca="1" si="5"/>
        <v>0.60861046638078053</v>
      </c>
      <c r="H33">
        <f t="shared" ca="1" si="6"/>
        <v>5</v>
      </c>
      <c r="I33">
        <f t="shared" ca="1" si="7"/>
        <v>-1.0613372610104648</v>
      </c>
    </row>
    <row r="34" spans="1:9" ht="72" x14ac:dyDescent="0.3">
      <c r="A34" s="1" t="s">
        <v>40</v>
      </c>
      <c r="E34">
        <v>7</v>
      </c>
      <c r="F34">
        <f t="shared" ca="1" si="4"/>
        <v>3451</v>
      </c>
      <c r="G34">
        <f t="shared" ca="1" si="5"/>
        <v>-0.62434084246852561</v>
      </c>
      <c r="H34">
        <f t="shared" ca="1" si="6"/>
        <v>6</v>
      </c>
      <c r="I34">
        <f t="shared" ca="1" si="7"/>
        <v>-0.682288239221013</v>
      </c>
    </row>
    <row r="35" spans="1:9" x14ac:dyDescent="0.3">
      <c r="E35">
        <v>8</v>
      </c>
      <c r="F35">
        <f t="shared" ca="1" si="4"/>
        <v>8397</v>
      </c>
      <c r="G35">
        <f t="shared" ca="1" si="5"/>
        <v>1.2020075173903149</v>
      </c>
      <c r="H35">
        <f t="shared" ca="1" si="6"/>
        <v>6</v>
      </c>
      <c r="I35">
        <f t="shared" ca="1" si="7"/>
        <v>-0.682288239221013</v>
      </c>
    </row>
    <row r="36" spans="1:9" ht="72" x14ac:dyDescent="0.3">
      <c r="A36" t="s">
        <v>41</v>
      </c>
      <c r="B36" s="1" t="s">
        <v>53</v>
      </c>
      <c r="E36">
        <v>9</v>
      </c>
      <c r="F36">
        <f t="shared" ca="1" si="4"/>
        <v>5577</v>
      </c>
      <c r="G36">
        <f t="shared" ca="1" si="5"/>
        <v>0.16070093130015509</v>
      </c>
      <c r="H36">
        <f t="shared" ca="1" si="6"/>
        <v>14</v>
      </c>
      <c r="I36">
        <f t="shared" ca="1" si="7"/>
        <v>2.3501039350946007</v>
      </c>
    </row>
    <row r="37" spans="1:9" x14ac:dyDescent="0.3">
      <c r="E37">
        <v>10</v>
      </c>
      <c r="F37">
        <f t="shared" ca="1" si="4"/>
        <v>3534</v>
      </c>
      <c r="G37">
        <f t="shared" ca="1" si="5"/>
        <v>-0.59369245713324792</v>
      </c>
      <c r="H37">
        <f t="shared" ca="1" si="6"/>
        <v>9</v>
      </c>
      <c r="I37">
        <f t="shared" ca="1" si="7"/>
        <v>0.45485882614734213</v>
      </c>
    </row>
    <row r="38" spans="1:9" ht="43.2" x14ac:dyDescent="0.3">
      <c r="A38" s="1" t="s">
        <v>42</v>
      </c>
      <c r="F38" t="s">
        <v>17</v>
      </c>
      <c r="G38">
        <f ca="1">AVERAGE(G28:G37)</f>
        <v>0</v>
      </c>
      <c r="I38">
        <f ca="1">AVERAGE(I28:I37)</f>
        <v>7.2164496600635178E-17</v>
      </c>
    </row>
    <row r="39" spans="1:9" x14ac:dyDescent="0.3">
      <c r="F39" t="s">
        <v>22</v>
      </c>
      <c r="G39">
        <f ca="1">_xlfn.STDEV.P(G28:G37)</f>
        <v>1</v>
      </c>
      <c r="I39">
        <f ca="1">_xlfn.STDEV.P(I28:I37)</f>
        <v>1</v>
      </c>
    </row>
    <row r="40" spans="1:9" x14ac:dyDescent="0.3">
      <c r="A40" t="s">
        <v>43</v>
      </c>
      <c r="B40" t="s">
        <v>46</v>
      </c>
      <c r="C40" t="s">
        <v>47</v>
      </c>
    </row>
    <row r="41" spans="1:9" ht="43.2" x14ac:dyDescent="0.3">
      <c r="A41" s="1" t="s">
        <v>44</v>
      </c>
      <c r="B41" s="2"/>
    </row>
    <row r="42" spans="1:9" ht="28.8" x14ac:dyDescent="0.3">
      <c r="A42" s="1" t="s">
        <v>45</v>
      </c>
      <c r="B42" s="2"/>
    </row>
    <row r="43" spans="1:9" ht="43.2" x14ac:dyDescent="0.3">
      <c r="A43" s="1" t="s">
        <v>48</v>
      </c>
      <c r="C43" s="2"/>
    </row>
    <row r="45" spans="1:9" ht="28.8" x14ac:dyDescent="0.3">
      <c r="A45" s="1" t="s">
        <v>54</v>
      </c>
      <c r="C45" t="s">
        <v>69</v>
      </c>
    </row>
    <row r="46" spans="1:9" ht="57.6" x14ac:dyDescent="0.3">
      <c r="A46" s="1" t="s">
        <v>49</v>
      </c>
      <c r="B46" s="1" t="s">
        <v>55</v>
      </c>
      <c r="C46" t="s">
        <v>70</v>
      </c>
    </row>
    <row r="47" spans="1:9" ht="57.6" x14ac:dyDescent="0.3">
      <c r="A47" s="1" t="s">
        <v>50</v>
      </c>
      <c r="B47" s="1" t="s">
        <v>56</v>
      </c>
      <c r="C47" t="s">
        <v>70</v>
      </c>
    </row>
    <row r="48" spans="1:9" x14ac:dyDescent="0.3">
      <c r="A48" s="1" t="s">
        <v>51</v>
      </c>
      <c r="B48" t="s">
        <v>62</v>
      </c>
      <c r="C48" t="s">
        <v>70</v>
      </c>
    </row>
    <row r="49" spans="1:15" ht="72" x14ac:dyDescent="0.3">
      <c r="A49" s="1" t="s">
        <v>52</v>
      </c>
      <c r="B49" s="1" t="s">
        <v>63</v>
      </c>
      <c r="C49" t="s">
        <v>70</v>
      </c>
    </row>
    <row r="51" spans="1:15" ht="15" thickBot="1" x14ac:dyDescent="0.35">
      <c r="A51" s="1" t="s">
        <v>64</v>
      </c>
    </row>
    <row r="52" spans="1:15" ht="28.8" x14ac:dyDescent="0.3">
      <c r="A52" s="6" t="s">
        <v>65</v>
      </c>
      <c r="B52" s="7"/>
      <c r="C52" s="8"/>
    </row>
    <row r="53" spans="1:15" ht="72" x14ac:dyDescent="0.3">
      <c r="A53" s="9" t="s">
        <v>66</v>
      </c>
      <c r="B53" s="10"/>
      <c r="C53" s="11"/>
    </row>
    <row r="54" spans="1:15" x14ac:dyDescent="0.3">
      <c r="A54" s="9" t="s">
        <v>67</v>
      </c>
      <c r="B54" s="10" t="s">
        <v>71</v>
      </c>
      <c r="C54" s="11"/>
    </row>
    <row r="55" spans="1:15" ht="28.8" x14ac:dyDescent="0.3">
      <c r="A55" s="9" t="s">
        <v>68</v>
      </c>
      <c r="B55" s="10" t="s">
        <v>72</v>
      </c>
      <c r="C55" s="12" t="s">
        <v>75</v>
      </c>
    </row>
    <row r="56" spans="1:15" ht="43.2" x14ac:dyDescent="0.3">
      <c r="A56" s="13"/>
      <c r="B56" s="10" t="s">
        <v>73</v>
      </c>
      <c r="C56" s="12" t="s">
        <v>76</v>
      </c>
    </row>
    <row r="57" spans="1:15" ht="57.6" x14ac:dyDescent="0.3">
      <c r="A57" s="13"/>
      <c r="B57" s="10" t="s">
        <v>74</v>
      </c>
      <c r="C57" s="12" t="s">
        <v>77</v>
      </c>
    </row>
    <row r="58" spans="1:15" x14ac:dyDescent="0.3">
      <c r="A58" s="13"/>
      <c r="B58" s="10"/>
      <c r="C58" s="11"/>
    </row>
    <row r="59" spans="1:15" x14ac:dyDescent="0.3">
      <c r="A59" s="13" t="s">
        <v>78</v>
      </c>
      <c r="B59" s="10"/>
      <c r="C59" s="11"/>
    </row>
    <row r="60" spans="1:15" ht="15" thickBot="1" x14ac:dyDescent="0.35">
      <c r="A60" s="14" t="s">
        <v>79</v>
      </c>
      <c r="B60" s="15"/>
      <c r="C60" s="16"/>
      <c r="H60" t="s">
        <v>83</v>
      </c>
      <c r="M60" t="s">
        <v>89</v>
      </c>
      <c r="N60" t="s">
        <v>96</v>
      </c>
    </row>
    <row r="61" spans="1:15" ht="15" thickBot="1" x14ac:dyDescent="0.35">
      <c r="D61" t="s">
        <v>57</v>
      </c>
      <c r="E61" t="s">
        <v>58</v>
      </c>
      <c r="K61" t="s">
        <v>90</v>
      </c>
    </row>
    <row r="62" spans="1:15" x14ac:dyDescent="0.3">
      <c r="A62" t="s">
        <v>80</v>
      </c>
      <c r="B62" t="s">
        <v>81</v>
      </c>
      <c r="D62" s="3" t="s">
        <v>59</v>
      </c>
      <c r="E62" s="3">
        <f ca="1">RANDBETWEEN(1,10)</f>
        <v>3</v>
      </c>
      <c r="H62" t="s">
        <v>84</v>
      </c>
      <c r="I62" t="s">
        <v>85</v>
      </c>
      <c r="L62" s="17" t="s">
        <v>88</v>
      </c>
      <c r="M62" s="7">
        <v>0</v>
      </c>
      <c r="N62" s="7">
        <v>1</v>
      </c>
      <c r="O62" s="8"/>
    </row>
    <row r="63" spans="1:15" x14ac:dyDescent="0.3">
      <c r="B63" t="s">
        <v>82</v>
      </c>
      <c r="D63" s="4" t="s">
        <v>60</v>
      </c>
      <c r="E63" s="4">
        <f t="shared" ref="E63:E73" ca="1" si="8">RANDBETWEEN(1,10)</f>
        <v>7</v>
      </c>
      <c r="H63" t="s">
        <v>86</v>
      </c>
      <c r="I63">
        <f ca="1">RANDBETWEEN(0,1)</f>
        <v>1</v>
      </c>
      <c r="L63" s="13" t="s">
        <v>86</v>
      </c>
      <c r="M63" s="18">
        <f ca="1">COUNTIFS(H63:H78,L63, I63:I78, 0)</f>
        <v>3</v>
      </c>
      <c r="N63" s="18">
        <f ca="1">COUNTIFS(H63:H78, L63, I63:I78, 1)</f>
        <v>5</v>
      </c>
      <c r="O63" s="11">
        <f ca="1">SUM(M63:N63)</f>
        <v>8</v>
      </c>
    </row>
    <row r="64" spans="1:15" x14ac:dyDescent="0.3">
      <c r="D64" s="5" t="s">
        <v>61</v>
      </c>
      <c r="E64" s="5">
        <f t="shared" ca="1" si="8"/>
        <v>4</v>
      </c>
      <c r="H64" t="s">
        <v>87</v>
      </c>
      <c r="I64">
        <f t="shared" ref="I64:I78" ca="1" si="9">RANDBETWEEN(0,1)</f>
        <v>0</v>
      </c>
      <c r="L64" s="13" t="s">
        <v>87</v>
      </c>
      <c r="M64" s="18">
        <f ca="1">COUNTIFS(H63:H78, L64, I63:I78, 0)</f>
        <v>5</v>
      </c>
      <c r="N64" s="18">
        <f ca="1">COUNTIFS(H63:H78, L64, I63:I78, 1)</f>
        <v>3</v>
      </c>
      <c r="O64" s="11">
        <f ca="1">SUM(M64:N64)</f>
        <v>8</v>
      </c>
    </row>
    <row r="65" spans="4:15" ht="15" thickBot="1" x14ac:dyDescent="0.35">
      <c r="D65" s="3" t="s">
        <v>59</v>
      </c>
      <c r="E65" s="3">
        <f t="shared" ca="1" si="8"/>
        <v>1</v>
      </c>
      <c r="H65" t="s">
        <v>86</v>
      </c>
      <c r="I65">
        <f t="shared" ca="1" si="9"/>
        <v>1</v>
      </c>
      <c r="L65" s="14"/>
      <c r="M65" s="15">
        <f ca="1" xml:space="preserve"> SUM(M63:M64)</f>
        <v>8</v>
      </c>
      <c r="N65" s="15">
        <f ca="1" xml:space="preserve"> SUM(N63:N64)</f>
        <v>8</v>
      </c>
      <c r="O65" s="16">
        <v>16</v>
      </c>
    </row>
    <row r="66" spans="4:15" x14ac:dyDescent="0.3">
      <c r="D66" s="3" t="s">
        <v>59</v>
      </c>
      <c r="E66" s="3">
        <f t="shared" ca="1" si="8"/>
        <v>8</v>
      </c>
      <c r="H66" t="s">
        <v>86</v>
      </c>
      <c r="I66">
        <f t="shared" ca="1" si="9"/>
        <v>0</v>
      </c>
    </row>
    <row r="67" spans="4:15" x14ac:dyDescent="0.3">
      <c r="D67" s="4" t="s">
        <v>60</v>
      </c>
      <c r="E67" s="4">
        <f t="shared" ca="1" si="8"/>
        <v>10</v>
      </c>
      <c r="H67" t="s">
        <v>87</v>
      </c>
      <c r="I67">
        <f t="shared" ca="1" si="9"/>
        <v>1</v>
      </c>
    </row>
    <row r="68" spans="4:15" ht="87" thickBot="1" x14ac:dyDescent="0.35">
      <c r="D68" s="4" t="s">
        <v>60</v>
      </c>
      <c r="E68" s="4">
        <f t="shared" ca="1" si="8"/>
        <v>4</v>
      </c>
      <c r="H68" t="s">
        <v>86</v>
      </c>
      <c r="I68">
        <f t="shared" ca="1" si="9"/>
        <v>1</v>
      </c>
      <c r="K68" s="1" t="s">
        <v>92</v>
      </c>
    </row>
    <row r="69" spans="4:15" x14ac:dyDescent="0.3">
      <c r="D69" s="5" t="s">
        <v>61</v>
      </c>
      <c r="E69" s="5">
        <f t="shared" ca="1" si="8"/>
        <v>10</v>
      </c>
      <c r="H69" t="s">
        <v>87</v>
      </c>
      <c r="I69">
        <f t="shared" ca="1" si="9"/>
        <v>1</v>
      </c>
      <c r="K69" t="s">
        <v>91</v>
      </c>
      <c r="L69" s="17" t="s">
        <v>88</v>
      </c>
      <c r="M69" s="7">
        <v>0</v>
      </c>
      <c r="N69" s="7">
        <v>1</v>
      </c>
      <c r="O69" s="8"/>
    </row>
    <row r="70" spans="4:15" x14ac:dyDescent="0.3">
      <c r="D70" s="5" t="s">
        <v>61</v>
      </c>
      <c r="E70" s="5">
        <f t="shared" ca="1" si="8"/>
        <v>10</v>
      </c>
      <c r="H70" t="s">
        <v>87</v>
      </c>
      <c r="I70">
        <f t="shared" ca="1" si="9"/>
        <v>1</v>
      </c>
      <c r="L70" s="13" t="s">
        <v>86</v>
      </c>
      <c r="M70" s="18">
        <f ca="1">$O63*M$65/$O$65</f>
        <v>4</v>
      </c>
      <c r="N70" s="18">
        <f ca="1">$O63*N$65/$O$65</f>
        <v>4</v>
      </c>
      <c r="O70" s="11">
        <f ca="1">SUM(M70:N70)</f>
        <v>8</v>
      </c>
    </row>
    <row r="71" spans="4:15" x14ac:dyDescent="0.3">
      <c r="D71" s="3" t="s">
        <v>59</v>
      </c>
      <c r="E71" s="3">
        <f t="shared" ca="1" si="8"/>
        <v>6</v>
      </c>
      <c r="H71" t="s">
        <v>87</v>
      </c>
      <c r="I71">
        <f t="shared" ca="1" si="9"/>
        <v>0</v>
      </c>
      <c r="L71" s="13" t="s">
        <v>87</v>
      </c>
      <c r="M71" s="18">
        <f ca="1">$O64*M$65/$O$65</f>
        <v>4</v>
      </c>
      <c r="N71" s="18">
        <f ca="1">$O64*N$65/$O$65</f>
        <v>4</v>
      </c>
      <c r="O71" s="11">
        <f ca="1">SUM(M71:N71)</f>
        <v>8</v>
      </c>
    </row>
    <row r="72" spans="4:15" ht="15" thickBot="1" x14ac:dyDescent="0.35">
      <c r="D72" s="5" t="s">
        <v>61</v>
      </c>
      <c r="E72" s="5">
        <f t="shared" ca="1" si="8"/>
        <v>10</v>
      </c>
      <c r="H72" t="s">
        <v>86</v>
      </c>
      <c r="I72">
        <f t="shared" ca="1" si="9"/>
        <v>0</v>
      </c>
      <c r="L72" s="14"/>
      <c r="M72" s="15">
        <f ca="1">SUM(M70:M71)</f>
        <v>8</v>
      </c>
      <c r="N72" s="15">
        <f ca="1">SUM(N70:N71)</f>
        <v>8</v>
      </c>
      <c r="O72" s="16">
        <v>16</v>
      </c>
    </row>
    <row r="73" spans="4:15" x14ac:dyDescent="0.3">
      <c r="D73" s="4" t="s">
        <v>60</v>
      </c>
      <c r="E73" s="4">
        <f t="shared" ca="1" si="8"/>
        <v>5</v>
      </c>
      <c r="H73" t="s">
        <v>87</v>
      </c>
      <c r="I73">
        <f t="shared" ca="1" si="9"/>
        <v>0</v>
      </c>
    </row>
    <row r="74" spans="4:15" ht="15" thickBot="1" x14ac:dyDescent="0.35">
      <c r="H74" t="s">
        <v>86</v>
      </c>
      <c r="I74">
        <f t="shared" ca="1" si="9"/>
        <v>1</v>
      </c>
      <c r="K74" t="s">
        <v>94</v>
      </c>
    </row>
    <row r="75" spans="4:15" x14ac:dyDescent="0.3">
      <c r="H75" t="s">
        <v>86</v>
      </c>
      <c r="I75">
        <f t="shared" ca="1" si="9"/>
        <v>1</v>
      </c>
      <c r="K75" t="s">
        <v>93</v>
      </c>
      <c r="L75" s="17" t="s">
        <v>88</v>
      </c>
      <c r="M75" s="7">
        <v>0</v>
      </c>
      <c r="N75" s="7">
        <v>1</v>
      </c>
      <c r="O75" s="8"/>
    </row>
    <row r="76" spans="4:15" x14ac:dyDescent="0.3">
      <c r="H76" t="s">
        <v>86</v>
      </c>
      <c r="I76">
        <f t="shared" ca="1" si="9"/>
        <v>0</v>
      </c>
      <c r="L76" s="13" t="s">
        <v>86</v>
      </c>
      <c r="M76" s="18">
        <f ca="1">(M63-M70)*(M63-M70) / M70</f>
        <v>0.25</v>
      </c>
      <c r="N76" s="18">
        <f ca="1">(N63-N70)*(N63-N70) / N70</f>
        <v>0.25</v>
      </c>
      <c r="O76" s="11"/>
    </row>
    <row r="77" spans="4:15" x14ac:dyDescent="0.3">
      <c r="H77" t="s">
        <v>87</v>
      </c>
      <c r="I77">
        <f t="shared" ca="1" si="9"/>
        <v>0</v>
      </c>
      <c r="L77" s="13" t="s">
        <v>87</v>
      </c>
      <c r="M77" s="18">
        <f ca="1">(M64-M71)*(M64-M71) / M71</f>
        <v>0.25</v>
      </c>
      <c r="N77" s="18">
        <f ca="1">(N64-N71)*(N64-N71) / N71</f>
        <v>0.25</v>
      </c>
      <c r="O77" s="11"/>
    </row>
    <row r="78" spans="4:15" ht="15" thickBot="1" x14ac:dyDescent="0.35">
      <c r="H78" t="s">
        <v>87</v>
      </c>
      <c r="I78">
        <f t="shared" ca="1" si="9"/>
        <v>0</v>
      </c>
      <c r="L78" s="14"/>
      <c r="M78" s="15"/>
      <c r="N78" s="15"/>
      <c r="O78" s="16"/>
    </row>
    <row r="81" spans="12:13" ht="43.2" x14ac:dyDescent="0.3">
      <c r="L81" s="1" t="s">
        <v>95</v>
      </c>
      <c r="M81">
        <f ca="1">SUM(M76:N77)</f>
        <v>1</v>
      </c>
    </row>
  </sheetData>
  <pageMargins left="0.7" right="0.7" top="0.75" bottom="0.75" header="0.3" footer="0.3"/>
  <pageSetup paperSize="23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Inferential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gupta</dc:creator>
  <cp:lastModifiedBy>abhishek gupta</cp:lastModifiedBy>
  <dcterms:created xsi:type="dcterms:W3CDTF">2025-12-13T14:37:09Z</dcterms:created>
  <dcterms:modified xsi:type="dcterms:W3CDTF">2025-12-15T13:27:12Z</dcterms:modified>
</cp:coreProperties>
</file>
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d644cb9b03303f/Documents/Skillsoft/Python Nov 2025/"/>
    </mc:Choice>
  </mc:AlternateContent>
  <xr:revisionPtr revIDLastSave="0" documentId="8_{67C1200D-1F62-4B27-AD5E-52BC8D3674C5}" xr6:coauthVersionLast="47" xr6:coauthVersionMax="47" xr10:uidLastSave="{00000000-0000-0000-0000-000000000000}"/>
  <bookViews>
    <workbookView xWindow="-108" yWindow="-108" windowWidth="23256" windowHeight="12456" xr2:uid="{0CD1E336-AB7C-49A2-BDBA-BB97A641B1DD}"/>
  </bookViews>
  <sheets>
    <sheet name="Inferential 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1" l="1"/>
  <c r="H36" i="1"/>
  <c r="H35" i="1"/>
  <c r="H34" i="1"/>
  <c r="H33" i="1"/>
  <c r="H32" i="1"/>
  <c r="H31" i="1"/>
  <c r="H30" i="1"/>
  <c r="H29" i="1"/>
  <c r="H28" i="1"/>
  <c r="F37" i="1"/>
  <c r="F36" i="1"/>
  <c r="F35" i="1"/>
  <c r="F34" i="1"/>
  <c r="F33" i="1"/>
  <c r="F32" i="1"/>
  <c r="F31" i="1"/>
  <c r="F30" i="1"/>
  <c r="F29" i="1"/>
  <c r="F28" i="1"/>
  <c r="K7" i="1"/>
  <c r="K8" i="1"/>
  <c r="K9" i="1"/>
  <c r="K10" i="1"/>
  <c r="K11" i="1"/>
  <c r="K12" i="1"/>
  <c r="K13" i="1"/>
  <c r="K14" i="1"/>
  <c r="K15" i="1"/>
  <c r="K6" i="1"/>
  <c r="J7" i="1"/>
  <c r="J8" i="1"/>
  <c r="J9" i="1"/>
  <c r="J10" i="1"/>
  <c r="J11" i="1"/>
  <c r="J12" i="1"/>
  <c r="J13" i="1"/>
  <c r="J14" i="1"/>
  <c r="J15" i="1"/>
  <c r="J6" i="1"/>
  <c r="I29" i="1" l="1"/>
  <c r="I30" i="1"/>
  <c r="I31" i="1"/>
  <c r="I32" i="1"/>
  <c r="I35" i="1"/>
  <c r="I36" i="1"/>
  <c r="I37" i="1"/>
  <c r="I28" i="1"/>
  <c r="I34" i="1"/>
  <c r="I33" i="1"/>
  <c r="G29" i="1"/>
  <c r="G30" i="1"/>
  <c r="G31" i="1"/>
  <c r="G32" i="1"/>
  <c r="G33" i="1"/>
  <c r="G35" i="1"/>
  <c r="G36" i="1"/>
  <c r="G37" i="1"/>
  <c r="G34" i="1"/>
  <c r="G28" i="1"/>
  <c r="N18" i="1"/>
  <c r="N17" i="1"/>
  <c r="K17" i="1"/>
  <c r="J18" i="1"/>
  <c r="K18" i="1"/>
  <c r="J17" i="1"/>
  <c r="I39" i="1" l="1"/>
  <c r="I38" i="1"/>
  <c r="G38" i="1"/>
  <c r="G39" i="1"/>
  <c r="P20" i="1"/>
  <c r="L6" i="1"/>
  <c r="M6" i="1" s="1"/>
  <c r="L15" i="1"/>
  <c r="M15" i="1" s="1"/>
  <c r="L12" i="1"/>
  <c r="M12" i="1" s="1"/>
  <c r="L13" i="1"/>
  <c r="M13" i="1" s="1"/>
  <c r="L14" i="1"/>
  <c r="M14" i="1" s="1"/>
  <c r="L9" i="1"/>
  <c r="M9" i="1" s="1"/>
  <c r="L10" i="1"/>
  <c r="M10" i="1" s="1"/>
  <c r="L11" i="1"/>
  <c r="M11" i="1" s="1"/>
  <c r="L8" i="1"/>
  <c r="M8" i="1" s="1"/>
  <c r="L7" i="1"/>
  <c r="M7" i="1" s="1"/>
  <c r="M17" i="1" l="1"/>
  <c r="M18" i="1" s="1"/>
  <c r="P21" i="1" s="1"/>
  <c r="M20" i="1" l="1"/>
  <c r="M21" i="1"/>
</calcChain>
</file>

<file path=xl/sharedStrings.xml><?xml version="1.0" encoding="utf-8"?>
<sst xmlns="http://schemas.openxmlformats.org/spreadsheetml/2006/main" count="60" uniqueCount="55">
  <si>
    <t>Population</t>
  </si>
  <si>
    <t>Sample</t>
  </si>
  <si>
    <t>The complete data
that could possibly
be there or that 
could possibly be
collected (complete 
data)</t>
  </si>
  <si>
    <t>Fraction of
a population</t>
  </si>
  <si>
    <t>Inferential
Stats</t>
  </si>
  <si>
    <t>Goal: To generalize the 
findings of sample on
population.</t>
  </si>
  <si>
    <t>Why that's required?
1. We don't have the resources
to collect the complete
population.
2.Even if we have complete
data, we will be working with
a sample of it due to
confidential and privacy reasons, 
or computation.</t>
  </si>
  <si>
    <t>Central Tendencies</t>
  </si>
  <si>
    <t>Measures of Dispersion</t>
  </si>
  <si>
    <r>
      <rPr>
        <b/>
        <sz val="11"/>
        <color theme="1"/>
        <rFont val="Calibri"/>
        <family val="2"/>
        <scheme val="minor"/>
      </rPr>
      <t xml:space="preserve">Variance
Std. Deviation
</t>
    </r>
    <r>
      <rPr>
        <sz val="11"/>
        <color theme="1"/>
        <rFont val="Calibri"/>
        <family val="2"/>
        <scheme val="minor"/>
      </rPr>
      <t>Range
IQR</t>
    </r>
  </si>
  <si>
    <t>Q. Compare the salary of working analytics professionals
in NY &amp; WA</t>
  </si>
  <si>
    <t xml:space="preserve">Numeric Data:
Mean
Median
Non - numeric Data:
Mode
</t>
  </si>
  <si>
    <t>Central tendencies 
doesn't provide a 
hollistic view.</t>
  </si>
  <si>
    <t>Gives a hollistic view of the data.</t>
  </si>
  <si>
    <t>Salary</t>
  </si>
  <si>
    <t>Employee ID</t>
  </si>
  <si>
    <t>% (appraisal)</t>
  </si>
  <si>
    <t>Average</t>
  </si>
  <si>
    <t>Median</t>
  </si>
  <si>
    <t>Salary (x-avg(x))</t>
  </si>
  <si>
    <t>Salary (x-avg(x))^2</t>
  </si>
  <si>
    <t>Variance</t>
  </si>
  <si>
    <t>Std. Dev.</t>
  </si>
  <si>
    <t>mean + Std. Dev</t>
  </si>
  <si>
    <t>mean - Std. Dev</t>
  </si>
  <si>
    <t>Distributions</t>
  </si>
  <si>
    <t>mean - 2 * std. Dev.</t>
  </si>
  <si>
    <t>mean + 2 * std. Dev.</t>
  </si>
  <si>
    <t>Uniform</t>
  </si>
  <si>
    <t>Exponential</t>
  </si>
  <si>
    <t>Poisson</t>
  </si>
  <si>
    <t>Binomial</t>
  </si>
  <si>
    <t>Property:
1. Mean = median = mode
2. 68-95-99.7 rule 
 1 SD away: 68.3% of data
 2 SD away: 95.4% of data
 4 SD away: 99.7 % of data</t>
  </si>
  <si>
    <t>CTL (Central limit 
theorem)
 theorem - 
It makes the normal
distribution most prominent one.</t>
  </si>
  <si>
    <t>z-score_salary = 
(x - mean) / std. dev.</t>
  </si>
  <si>
    <t>z-score_appraisal = 
(x - mean) / std. dev.</t>
  </si>
  <si>
    <t>Benefits of z-score
1. It strips any units
associated with data
2. It will bring the 
data on a lower 
scale with mean ~0 
and std. dev as ~1</t>
  </si>
  <si>
    <t>Normal Distribution
(Bell curve/Gaussian distribution)
Standard Normal
Distribution
mean = 0, Std. Dev. = 1</t>
  </si>
  <si>
    <t>Confidence Interval (CIs)</t>
  </si>
  <si>
    <t xml:space="preserve"> Null hypothesis area</t>
  </si>
  <si>
    <t>90% CI = mean + 1.640SE
95% CI = mean + 1.96SE
99% CI = mean + 2.576SE
SE = SD / SQRT(n)</t>
  </si>
  <si>
    <t>1-CI = p_value</t>
  </si>
  <si>
    <t>Under null hypothesis model, probability that the given value
will lie outside the CI range.</t>
  </si>
  <si>
    <t>Hypothesis testing</t>
  </si>
  <si>
    <t>Q. Salary of working analytics
professional is higher in NY
compared to WA</t>
  </si>
  <si>
    <t>Q. The new drug for migraines
is effective</t>
  </si>
  <si>
    <t>One tailed hypothesis testing</t>
  </si>
  <si>
    <t>Two-tailed hypothesis testing</t>
  </si>
  <si>
    <t>Q. The new policies that are being laid out would have an 
impact on society.</t>
  </si>
  <si>
    <t>1. z-test/t-test</t>
  </si>
  <si>
    <t>2. ANOVA(analysis of variance)</t>
  </si>
  <si>
    <t>3. Chi-Square test</t>
  </si>
  <si>
    <t>4. Correlation test (Pearsons's/
Spearman's)</t>
  </si>
  <si>
    <t xml:space="preserve"> rejection region / Alternative
hypothesis area/ alpha region/significance level
(Standard - 5%)</t>
  </si>
  <si>
    <t>Statistical Tests used for 
hypothesis testing (explore)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</si>
</sst>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'Inferential Stats'!$F$27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'Inferential Stats'!$F$28:$F$37</c:f>
              <c:numCache>
                <c:formatCode>General</c:formatCode>
                <c:ptCount val="10"/>
                <c:pt idx="0">
                  <c:v>8876</c:v>
                </c:pt>
                <c:pt idx="1">
                  <c:v>5165</c:v>
                </c:pt>
                <c:pt idx="2">
                  <c:v>5275</c:v>
                </c:pt>
                <c:pt idx="3">
                  <c:v>7259</c:v>
                </c:pt>
                <c:pt idx="4">
                  <c:v>2523</c:v>
                </c:pt>
                <c:pt idx="5">
                  <c:v>4831</c:v>
                </c:pt>
                <c:pt idx="6">
                  <c:v>7055</c:v>
                </c:pt>
                <c:pt idx="7">
                  <c:v>7981</c:v>
                </c:pt>
                <c:pt idx="8">
                  <c:v>3012</c:v>
                </c:pt>
                <c:pt idx="9">
                  <c:v>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E-43C5-BC8A-51CEE13E7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899679"/>
        <c:axId val="1656854623"/>
      </c:lineChart>
      <c:lineChart>
        <c:grouping val="standard"/>
        <c:varyColors val="0"/>
        <c:ser>
          <c:idx val="1"/>
          <c:order val="1"/>
          <c:tx>
            <c:strRef>
              <c:f>'Inferential Stats'!$H$27</c:f>
              <c:strCache>
                <c:ptCount val="1"/>
                <c:pt idx="0">
                  <c:v>% (appraisal)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'Inferential Stats'!$H$28:$H$37</c:f>
              <c:numCache>
                <c:formatCode>General</c:formatCode>
                <c:ptCount val="10"/>
                <c:pt idx="0">
                  <c:v>9</c:v>
                </c:pt>
                <c:pt idx="1">
                  <c:v>7</c:v>
                </c:pt>
                <c:pt idx="2">
                  <c:v>10</c:v>
                </c:pt>
                <c:pt idx="3">
                  <c:v>5</c:v>
                </c:pt>
                <c:pt idx="4">
                  <c:v>15</c:v>
                </c:pt>
                <c:pt idx="5">
                  <c:v>9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0E-43C5-BC8A-51CEE13E7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850687"/>
        <c:axId val="1490854015"/>
      </c:lineChart>
      <c:catAx>
        <c:axId val="1655899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854623"/>
        <c:crosses val="autoZero"/>
        <c:auto val="1"/>
        <c:lblAlgn val="ctr"/>
        <c:lblOffset val="100"/>
        <c:noMultiLvlLbl val="0"/>
      </c:catAx>
      <c:valAx>
        <c:axId val="16568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899679"/>
        <c:crosses val="autoZero"/>
        <c:crossBetween val="between"/>
      </c:valAx>
      <c:valAx>
        <c:axId val="14908540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50687"/>
        <c:crosses val="max"/>
        <c:crossBetween val="between"/>
      </c:valAx>
      <c:catAx>
        <c:axId val="1490850687"/>
        <c:scaling>
          <c:orientation val="minMax"/>
        </c:scaling>
        <c:delete val="1"/>
        <c:axPos val="b"/>
        <c:majorTickMark val="out"/>
        <c:minorTickMark val="none"/>
        <c:tickLblPos val="nextTo"/>
        <c:crossAx val="14908540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'Inferential Stats'!$G$27</c:f>
              <c:strCache>
                <c:ptCount val="1"/>
                <c:pt idx="0">
                  <c:v>z-score_salary = 
(x - mean) / std. dev.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'Inferential Stats'!$G$28:$G$37</c:f>
              <c:numCache>
                <c:formatCode>General</c:formatCode>
                <c:ptCount val="10"/>
                <c:pt idx="0">
                  <c:v>1.4856691683180563</c:v>
                </c:pt>
                <c:pt idx="1">
                  <c:v>-5.9673288622916099E-2</c:v>
                </c:pt>
                <c:pt idx="2">
                  <c:v>-1.3866856323399263E-2</c:v>
                </c:pt>
                <c:pt idx="3">
                  <c:v>0.81231461351515888</c:v>
                </c:pt>
                <c:pt idx="4">
                  <c:v>-1.1598605080349476</c:v>
                </c:pt>
                <c:pt idx="5">
                  <c:v>-0.19875827396872175</c:v>
                </c:pt>
                <c:pt idx="6">
                  <c:v>0.72736450270514585</c:v>
                </c:pt>
                <c:pt idx="7">
                  <c:v>1.1129713782447148</c:v>
                </c:pt>
                <c:pt idx="8">
                  <c:v>-0.95623009535800463</c:v>
                </c:pt>
                <c:pt idx="9">
                  <c:v>-1.7499306404750872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E-4F98-B98E-D53D7D258131}"/>
            </c:ext>
          </c:extLst>
        </c:ser>
        <c:ser>
          <c:idx val="1"/>
          <c:order val="1"/>
          <c:tx>
            <c:strRef>
              <c:f>'Inferential Stats'!$I$27</c:f>
              <c:strCache>
                <c:ptCount val="1"/>
                <c:pt idx="0">
                  <c:v>z-score_appraisal = 
(x - mean) / std. dev.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'Inferential Stats'!$I$28:$I$37</c:f>
              <c:numCache>
                <c:formatCode>General</c:formatCode>
                <c:ptCount val="10"/>
                <c:pt idx="0">
                  <c:v>0</c:v>
                </c:pt>
                <c:pt idx="1">
                  <c:v>-0.7453559924999299</c:v>
                </c:pt>
                <c:pt idx="2">
                  <c:v>0.37267799624996495</c:v>
                </c:pt>
                <c:pt idx="3">
                  <c:v>-1.4907119849998598</c:v>
                </c:pt>
                <c:pt idx="4">
                  <c:v>2.2360679774997898</c:v>
                </c:pt>
                <c:pt idx="5">
                  <c:v>0</c:v>
                </c:pt>
                <c:pt idx="6">
                  <c:v>0.7453559924999299</c:v>
                </c:pt>
                <c:pt idx="7">
                  <c:v>-0.37267799624996495</c:v>
                </c:pt>
                <c:pt idx="8">
                  <c:v>-1.1180339887498949</c:v>
                </c:pt>
                <c:pt idx="9">
                  <c:v>0.37267799624996495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E-4F98-B98E-D53D7D25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820255"/>
        <c:axId val="1748821087"/>
      </c:lineChart>
      <c:catAx>
        <c:axId val="1748820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21087"/>
        <c:crosses val="autoZero"/>
        <c:auto val="1"/>
        <c:lblAlgn val="ctr"/>
        <c:lblOffset val="100"/>
        <c:noMultiLvlLbl val="0"/>
      </c:catAx>
      <c:valAx>
        <c:axId val="174882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42</xdr:row>
      <xdr:rowOff>118110</xdr:rowOff>
    </xdr:from>
    <xdr:to>
      <xdr:col>8</xdr:col>
      <xdr:colOff>45720</xdr:colOff>
      <xdr:row>57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403FC-38F6-4E35-AB03-A26EEEE82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129540</xdr:colOff>
      <xdr:row>42</xdr:row>
      <xdr:rowOff>102870</xdr:rowOff>
    </xdr:from>
    <xdr:to>
      <xdr:col>13</xdr:col>
      <xdr:colOff>403860</xdr:colOff>
      <xdr:row>57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24F398-2944-4E0B-9467-BFC642D4C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DB55-F48B-42C4-B359-C489B8948987}">
  <dimension ref="A1:P49"/>
  <sheetViews>
    <sheetView tabSelected="1" zoomScale="67" workbookViewId="0">
      <selection activeCell="S51" sqref="S51"/>
    </sheetView>
  </sheetViews>
  <sheetFormatPr defaultRowHeight="14.4" x14ac:dyDescent="0.3"/>
  <cols>
    <col min="1" max="1" width="27.33203125" bestFit="1" customWidth="1"/>
    <col min="2" max="2" width="24.6640625" customWidth="1"/>
    <col min="3" max="3" width="25.109375" bestFit="1" customWidth="1"/>
    <col min="4" max="4" width="32.109375" customWidth="1"/>
    <col min="7" max="7" width="16.88671875" customWidth="1"/>
    <col min="8" max="8" width="11.33203125" bestFit="1" customWidth="1"/>
    <col min="9" max="9" width="12.6640625" bestFit="1" customWidth="1"/>
    <col min="11" max="11" width="11.33203125" bestFit="1" customWidth="1"/>
    <col min="12" max="12" width="13.88671875" bestFit="1" customWidth="1"/>
    <col min="13" max="13" width="15.88671875" bestFit="1" customWidth="1"/>
  </cols>
  <sheetData>
    <row r="1" spans="1:13" ht="216" x14ac:dyDescent="0.3">
      <c r="A1" s="1" t="s">
        <v>4</v>
      </c>
      <c r="B1" s="1" t="s">
        <v>5</v>
      </c>
      <c r="D1" s="1" t="s">
        <v>6</v>
      </c>
    </row>
    <row r="2" spans="1:13" x14ac:dyDescent="0.3">
      <c r="B2" t="s">
        <v>0</v>
      </c>
      <c r="D2" t="s">
        <v>1</v>
      </c>
    </row>
    <row r="4" spans="1:13" ht="82.2" customHeight="1" x14ac:dyDescent="0.3">
      <c r="B4" s="1" t="s">
        <v>2</v>
      </c>
      <c r="D4" s="1" t="s">
        <v>3</v>
      </c>
    </row>
    <row r="5" spans="1:13" x14ac:dyDescent="0.3">
      <c r="I5" t="s">
        <v>15</v>
      </c>
      <c r="J5" t="s">
        <v>14</v>
      </c>
      <c r="K5" t="s">
        <v>16</v>
      </c>
      <c r="L5" t="s">
        <v>19</v>
      </c>
      <c r="M5" t="s">
        <v>20</v>
      </c>
    </row>
    <row r="6" spans="1:13" ht="80.400000000000006" customHeight="1" x14ac:dyDescent="0.3">
      <c r="A6" t="s">
        <v>7</v>
      </c>
      <c r="B6" s="1" t="s">
        <v>11</v>
      </c>
      <c r="D6" s="1" t="s">
        <v>10</v>
      </c>
      <c r="I6">
        <v>1</v>
      </c>
      <c r="J6">
        <f ca="1">RANDBETWEEN(1000,10000)</f>
        <v>4249</v>
      </c>
      <c r="K6">
        <f ca="1">RANDBETWEEN(5,15)</f>
        <v>11</v>
      </c>
      <c r="L6">
        <f ca="1">J6-$J$17</f>
        <v>-1526.8000000000002</v>
      </c>
      <c r="M6">
        <f ca="1">POWER(L6,2)</f>
        <v>2331118.2400000007</v>
      </c>
    </row>
    <row r="7" spans="1:13" ht="43.2" x14ac:dyDescent="0.3">
      <c r="A7" s="1" t="s">
        <v>12</v>
      </c>
      <c r="I7">
        <v>2</v>
      </c>
      <c r="J7">
        <f t="shared" ref="J7:J15" ca="1" si="0">RANDBETWEEN(1000,10000)</f>
        <v>8742</v>
      </c>
      <c r="K7">
        <f t="shared" ref="K7:K15" ca="1" si="1">RANDBETWEEN(5,15)</f>
        <v>14</v>
      </c>
      <c r="L7">
        <f t="shared" ref="L7:L15" ca="1" si="2">J7-$J$17</f>
        <v>2966.2</v>
      </c>
      <c r="M7">
        <f t="shared" ref="M7:M15" ca="1" si="3">POWER(L7,2)</f>
        <v>8798342.4399999995</v>
      </c>
    </row>
    <row r="8" spans="1:13" ht="57.6" x14ac:dyDescent="0.3">
      <c r="A8" t="s">
        <v>8</v>
      </c>
      <c r="B8" s="1" t="s">
        <v>9</v>
      </c>
      <c r="D8" t="s">
        <v>13</v>
      </c>
      <c r="I8">
        <v>3</v>
      </c>
      <c r="J8">
        <f t="shared" ca="1" si="0"/>
        <v>6623</v>
      </c>
      <c r="K8">
        <f t="shared" ca="1" si="1"/>
        <v>15</v>
      </c>
      <c r="L8">
        <f t="shared" ca="1" si="2"/>
        <v>847.19999999999982</v>
      </c>
      <c r="M8">
        <f t="shared" ca="1" si="3"/>
        <v>717747.83999999973</v>
      </c>
    </row>
    <row r="9" spans="1:13" x14ac:dyDescent="0.3">
      <c r="I9">
        <v>4</v>
      </c>
      <c r="J9">
        <f t="shared" ca="1" si="0"/>
        <v>9786</v>
      </c>
      <c r="K9">
        <f t="shared" ca="1" si="1"/>
        <v>7</v>
      </c>
      <c r="L9">
        <f t="shared" ca="1" si="2"/>
        <v>4010.2</v>
      </c>
      <c r="M9">
        <f t="shared" ca="1" si="3"/>
        <v>16081704.039999999</v>
      </c>
    </row>
    <row r="10" spans="1:13" x14ac:dyDescent="0.3">
      <c r="I10">
        <v>5</v>
      </c>
      <c r="J10">
        <f t="shared" ca="1" si="0"/>
        <v>2011</v>
      </c>
      <c r="K10">
        <f t="shared" ca="1" si="1"/>
        <v>14</v>
      </c>
      <c r="L10">
        <f t="shared" ca="1" si="2"/>
        <v>-3764.8</v>
      </c>
      <c r="M10">
        <f t="shared" ca="1" si="3"/>
        <v>14173719.040000001</v>
      </c>
    </row>
    <row r="11" spans="1:13" x14ac:dyDescent="0.3">
      <c r="I11">
        <v>6</v>
      </c>
      <c r="J11">
        <f t="shared" ca="1" si="0"/>
        <v>8618</v>
      </c>
      <c r="K11">
        <f t="shared" ca="1" si="1"/>
        <v>7</v>
      </c>
      <c r="L11">
        <f t="shared" ca="1" si="2"/>
        <v>2842.2</v>
      </c>
      <c r="M11">
        <f t="shared" ca="1" si="3"/>
        <v>8078100.8399999989</v>
      </c>
    </row>
    <row r="12" spans="1:13" x14ac:dyDescent="0.3">
      <c r="I12">
        <v>7</v>
      </c>
      <c r="J12">
        <f t="shared" ca="1" si="0"/>
        <v>5770</v>
      </c>
      <c r="K12">
        <f t="shared" ca="1" si="1"/>
        <v>5</v>
      </c>
      <c r="L12">
        <f t="shared" ca="1" si="2"/>
        <v>-5.8000000000001819</v>
      </c>
      <c r="M12">
        <f t="shared" ca="1" si="3"/>
        <v>33.640000000002111</v>
      </c>
    </row>
    <row r="13" spans="1:13" x14ac:dyDescent="0.3">
      <c r="I13">
        <v>8</v>
      </c>
      <c r="J13">
        <f t="shared" ca="1" si="0"/>
        <v>4423</v>
      </c>
      <c r="K13">
        <f t="shared" ca="1" si="1"/>
        <v>9</v>
      </c>
      <c r="L13">
        <f t="shared" ca="1" si="2"/>
        <v>-1352.8000000000002</v>
      </c>
      <c r="M13">
        <f t="shared" ca="1" si="3"/>
        <v>1830067.8400000005</v>
      </c>
    </row>
    <row r="14" spans="1:13" x14ac:dyDescent="0.3">
      <c r="I14">
        <v>9</v>
      </c>
      <c r="J14">
        <f t="shared" ca="1" si="0"/>
        <v>5003</v>
      </c>
      <c r="K14">
        <f t="shared" ca="1" si="1"/>
        <v>5</v>
      </c>
      <c r="L14">
        <f t="shared" ca="1" si="2"/>
        <v>-772.80000000000018</v>
      </c>
      <c r="M14">
        <f t="shared" ca="1" si="3"/>
        <v>597219.84000000032</v>
      </c>
    </row>
    <row r="15" spans="1:13" x14ac:dyDescent="0.3">
      <c r="I15">
        <v>10</v>
      </c>
      <c r="J15">
        <f t="shared" ca="1" si="0"/>
        <v>2533</v>
      </c>
      <c r="K15">
        <f t="shared" ca="1" si="1"/>
        <v>14</v>
      </c>
      <c r="L15">
        <f t="shared" ca="1" si="2"/>
        <v>-3242.8</v>
      </c>
      <c r="M15">
        <f t="shared" ca="1" si="3"/>
        <v>10515751.840000002</v>
      </c>
    </row>
    <row r="17" spans="1:16" x14ac:dyDescent="0.3">
      <c r="I17" t="s">
        <v>17</v>
      </c>
      <c r="J17">
        <f ca="1">AVERAGE(J6:J15)</f>
        <v>5775.8</v>
      </c>
      <c r="K17">
        <f ca="1">AVERAGE(K6:K15)</f>
        <v>10.1</v>
      </c>
      <c r="L17" t="s">
        <v>21</v>
      </c>
      <c r="M17">
        <f ca="1">SUM(M6:M15)/COUNT(I6:I15)</f>
        <v>6312380.5600000005</v>
      </c>
      <c r="N17">
        <f ca="1">_xlfn.VAR.P(J6:J15)</f>
        <v>6312380.5599999996</v>
      </c>
    </row>
    <row r="18" spans="1:16" x14ac:dyDescent="0.3">
      <c r="I18" t="s">
        <v>18</v>
      </c>
      <c r="J18">
        <f ca="1">MEDIAN(J6:J15)</f>
        <v>5386.5</v>
      </c>
      <c r="K18">
        <f ca="1">MEDIAN(K6:K15)</f>
        <v>10</v>
      </c>
      <c r="L18" t="s">
        <v>22</v>
      </c>
      <c r="M18">
        <f ca="1">SQRT(M17)</f>
        <v>2512.4451357193852</v>
      </c>
      <c r="N18">
        <f ca="1">_xlfn.STDEV.P(J6:J15)</f>
        <v>2512.4451357193852</v>
      </c>
    </row>
    <row r="20" spans="1:16" x14ac:dyDescent="0.3">
      <c r="L20" t="s">
        <v>23</v>
      </c>
      <c r="M20">
        <f ca="1">J17+M18</f>
        <v>8288.2451357193859</v>
      </c>
      <c r="O20" t="s">
        <v>27</v>
      </c>
      <c r="P20">
        <f ca="1" xml:space="preserve"> J17 + 2*N18</f>
        <v>10800.690271438771</v>
      </c>
    </row>
    <row r="21" spans="1:16" x14ac:dyDescent="0.3">
      <c r="L21" t="s">
        <v>24</v>
      </c>
      <c r="M21">
        <f ca="1">J17-M18</f>
        <v>3263.3548642806149</v>
      </c>
      <c r="O21" t="s">
        <v>26</v>
      </c>
      <c r="P21">
        <f ca="1">J17-2*M18</f>
        <v>750.90972856122971</v>
      </c>
    </row>
    <row r="24" spans="1:16" x14ac:dyDescent="0.3">
      <c r="A24" t="s">
        <v>25</v>
      </c>
    </row>
    <row r="26" spans="1:16" ht="115.2" x14ac:dyDescent="0.3">
      <c r="A26" s="1" t="s">
        <v>37</v>
      </c>
      <c r="B26" s="1" t="s">
        <v>32</v>
      </c>
      <c r="C26" s="1" t="s">
        <v>33</v>
      </c>
      <c r="G26" s="1" t="s">
        <v>36</v>
      </c>
    </row>
    <row r="27" spans="1:16" ht="72" x14ac:dyDescent="0.3">
      <c r="E27" t="s">
        <v>15</v>
      </c>
      <c r="F27" t="s">
        <v>14</v>
      </c>
      <c r="G27" s="1" t="s">
        <v>34</v>
      </c>
      <c r="H27" t="s">
        <v>16</v>
      </c>
      <c r="I27" s="1" t="s">
        <v>35</v>
      </c>
    </row>
    <row r="28" spans="1:16" x14ac:dyDescent="0.3">
      <c r="A28" t="s">
        <v>28</v>
      </c>
      <c r="E28">
        <v>1</v>
      </c>
      <c r="F28">
        <f ca="1">RANDBETWEEN(1000,10000)</f>
        <v>8876</v>
      </c>
      <c r="G28">
        <f ca="1">(F28-AVERAGE($F$28:$F$37) )/ _xlfn.STDEV.P($F$28:$F$37)</f>
        <v>1.4856691683180563</v>
      </c>
      <c r="H28">
        <f ca="1">RANDBETWEEN(5,15)</f>
        <v>9</v>
      </c>
      <c r="I28">
        <f ca="1">(H28-AVERAGE($H$28:$H$37) )/ _xlfn.STDEV.P($H$28:$H$37)</f>
        <v>0</v>
      </c>
    </row>
    <row r="29" spans="1:16" x14ac:dyDescent="0.3">
      <c r="A29" t="s">
        <v>29</v>
      </c>
      <c r="E29">
        <v>2</v>
      </c>
      <c r="F29">
        <f t="shared" ref="F29:F37" ca="1" si="4">RANDBETWEEN(1000,10000)</f>
        <v>5165</v>
      </c>
      <c r="G29">
        <f t="shared" ref="G29:G37" ca="1" si="5">(F29-AVERAGE($F$28:$F$37) )/ _xlfn.STDEV.P($F$28:$F$37)</f>
        <v>-5.9673288622916099E-2</v>
      </c>
      <c r="H29">
        <f t="shared" ref="H29:H37" ca="1" si="6">RANDBETWEEN(5,15)</f>
        <v>7</v>
      </c>
      <c r="I29">
        <f t="shared" ref="I29:I37" ca="1" si="7">(H29-AVERAGE($H$28:$H$37) )/ _xlfn.STDEV.P($H$28:$H$37)</f>
        <v>-0.7453559924999299</v>
      </c>
    </row>
    <row r="30" spans="1:16" x14ac:dyDescent="0.3">
      <c r="A30" t="s">
        <v>30</v>
      </c>
      <c r="E30">
        <v>3</v>
      </c>
      <c r="F30">
        <f t="shared" ca="1" si="4"/>
        <v>5275</v>
      </c>
      <c r="G30">
        <f t="shared" ca="1" si="5"/>
        <v>-1.3866856323399263E-2</v>
      </c>
      <c r="H30">
        <f t="shared" ca="1" si="6"/>
        <v>10</v>
      </c>
      <c r="I30">
        <f t="shared" ca="1" si="7"/>
        <v>0.37267799624996495</v>
      </c>
    </row>
    <row r="31" spans="1:16" x14ac:dyDescent="0.3">
      <c r="A31" t="s">
        <v>31</v>
      </c>
      <c r="E31">
        <v>4</v>
      </c>
      <c r="F31">
        <f t="shared" ca="1" si="4"/>
        <v>7259</v>
      </c>
      <c r="G31">
        <f t="shared" ca="1" si="5"/>
        <v>0.81231461351515888</v>
      </c>
      <c r="H31">
        <f t="shared" ca="1" si="6"/>
        <v>5</v>
      </c>
      <c r="I31">
        <f t="shared" ca="1" si="7"/>
        <v>-1.4907119849998598</v>
      </c>
    </row>
    <row r="32" spans="1:16" x14ac:dyDescent="0.3">
      <c r="E32">
        <v>5</v>
      </c>
      <c r="F32">
        <f t="shared" ca="1" si="4"/>
        <v>2523</v>
      </c>
      <c r="G32">
        <f t="shared" ca="1" si="5"/>
        <v>-1.1598605080349476</v>
      </c>
      <c r="H32">
        <f t="shared" ca="1" si="6"/>
        <v>15</v>
      </c>
      <c r="I32">
        <f t="shared" ca="1" si="7"/>
        <v>2.2360679774997898</v>
      </c>
    </row>
    <row r="33" spans="1:9" x14ac:dyDescent="0.3">
      <c r="A33" t="s">
        <v>38</v>
      </c>
      <c r="B33" t="s">
        <v>39</v>
      </c>
      <c r="E33">
        <v>6</v>
      </c>
      <c r="F33">
        <f t="shared" ca="1" si="4"/>
        <v>4831</v>
      </c>
      <c r="G33">
        <f t="shared" ca="1" si="5"/>
        <v>-0.19875827396872175</v>
      </c>
      <c r="H33">
        <f t="shared" ca="1" si="6"/>
        <v>9</v>
      </c>
      <c r="I33">
        <f t="shared" ca="1" si="7"/>
        <v>0</v>
      </c>
    </row>
    <row r="34" spans="1:9" ht="72" x14ac:dyDescent="0.3">
      <c r="A34" s="1" t="s">
        <v>40</v>
      </c>
      <c r="E34">
        <v>7</v>
      </c>
      <c r="F34">
        <f t="shared" ca="1" si="4"/>
        <v>7055</v>
      </c>
      <c r="G34">
        <f t="shared" ca="1" si="5"/>
        <v>0.72736450270514585</v>
      </c>
      <c r="H34">
        <f t="shared" ca="1" si="6"/>
        <v>11</v>
      </c>
      <c r="I34">
        <f t="shared" ca="1" si="7"/>
        <v>0.7453559924999299</v>
      </c>
    </row>
    <row r="35" spans="1:9" x14ac:dyDescent="0.3">
      <c r="E35">
        <v>8</v>
      </c>
      <c r="F35">
        <f t="shared" ca="1" si="4"/>
        <v>7981</v>
      </c>
      <c r="G35">
        <f t="shared" ca="1" si="5"/>
        <v>1.1129713782447148</v>
      </c>
      <c r="H35">
        <f t="shared" ca="1" si="6"/>
        <v>8</v>
      </c>
      <c r="I35">
        <f t="shared" ca="1" si="7"/>
        <v>-0.37267799624996495</v>
      </c>
    </row>
    <row r="36" spans="1:9" ht="72" x14ac:dyDescent="0.3">
      <c r="A36" t="s">
        <v>41</v>
      </c>
      <c r="B36" s="1" t="s">
        <v>53</v>
      </c>
      <c r="E36">
        <v>9</v>
      </c>
      <c r="F36">
        <f t="shared" ca="1" si="4"/>
        <v>3012</v>
      </c>
      <c r="G36">
        <f t="shared" ca="1" si="5"/>
        <v>-0.95623009535800463</v>
      </c>
      <c r="H36">
        <f t="shared" ca="1" si="6"/>
        <v>6</v>
      </c>
      <c r="I36">
        <f t="shared" ca="1" si="7"/>
        <v>-1.1180339887498949</v>
      </c>
    </row>
    <row r="37" spans="1:9" x14ac:dyDescent="0.3">
      <c r="E37">
        <v>10</v>
      </c>
      <c r="F37">
        <f t="shared" ca="1" si="4"/>
        <v>1106</v>
      </c>
      <c r="G37">
        <f t="shared" ca="1" si="5"/>
        <v>-1.7499306404750872</v>
      </c>
      <c r="H37">
        <f t="shared" ca="1" si="6"/>
        <v>10</v>
      </c>
      <c r="I37">
        <f t="shared" ca="1" si="7"/>
        <v>0.37267799624996495</v>
      </c>
    </row>
    <row r="38" spans="1:9" ht="43.2" x14ac:dyDescent="0.3">
      <c r="A38" s="1" t="s">
        <v>42</v>
      </c>
      <c r="F38" t="s">
        <v>17</v>
      </c>
      <c r="G38">
        <f ca="1">AVERAGE(G28:G37)</f>
        <v>0</v>
      </c>
      <c r="I38">
        <f ca="1">AVERAGE(I28:I37)</f>
        <v>0</v>
      </c>
    </row>
    <row r="39" spans="1:9" x14ac:dyDescent="0.3">
      <c r="F39" t="s">
        <v>22</v>
      </c>
      <c r="G39">
        <f ca="1">_xlfn.STDEV.P(G28:G37)</f>
        <v>1</v>
      </c>
      <c r="I39">
        <f ca="1">_xlfn.STDEV.P(I28:I37)</f>
        <v>1</v>
      </c>
    </row>
    <row r="40" spans="1:9" x14ac:dyDescent="0.3">
      <c r="A40" t="s">
        <v>43</v>
      </c>
      <c r="B40" t="s">
        <v>46</v>
      </c>
      <c r="C40" t="s">
        <v>47</v>
      </c>
    </row>
    <row r="41" spans="1:9" ht="43.2" x14ac:dyDescent="0.3">
      <c r="A41" s="1" t="s">
        <v>44</v>
      </c>
      <c r="B41" s="2"/>
    </row>
    <row r="42" spans="1:9" ht="28.8" x14ac:dyDescent="0.3">
      <c r="A42" s="1" t="s">
        <v>45</v>
      </c>
      <c r="B42" s="2"/>
    </row>
    <row r="43" spans="1:9" ht="43.2" x14ac:dyDescent="0.3">
      <c r="A43" s="1" t="s">
        <v>48</v>
      </c>
      <c r="C43" s="2"/>
    </row>
    <row r="45" spans="1:9" ht="28.8" x14ac:dyDescent="0.3">
      <c r="A45" s="1" t="s">
        <v>54</v>
      </c>
    </row>
    <row r="46" spans="1:9" x14ac:dyDescent="0.3">
      <c r="A46" s="1" t="s">
        <v>49</v>
      </c>
    </row>
    <row r="47" spans="1:9" x14ac:dyDescent="0.3">
      <c r="A47" s="1" t="s">
        <v>50</v>
      </c>
    </row>
    <row r="48" spans="1:9" x14ac:dyDescent="0.3">
      <c r="A48" s="1" t="s">
        <v>51</v>
      </c>
    </row>
    <row r="49" spans="1:1" ht="28.8" x14ac:dyDescent="0.3">
      <c r="A49" s="1" t="s">
        <v>52</v>
      </c>
    </row>
  </sheetData>
  <pageMargins left="0.7" right="0.7" top="0.75" bottom="0.75" header="0.3" footer="0.3"/>
  <pageSetup paperSize="23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Inferential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gupta</dc:creator>
  <cp:lastModifiedBy>abhishek gupta</cp:lastModifiedBy>
  <dcterms:created xsi:type="dcterms:W3CDTF">2025-12-13T14:37:09Z</dcterms:created>
  <dcterms:modified xsi:type="dcterms:W3CDTF">2025-12-14T14:01:09Z</dcterms:modified>
</cp:coreProperties>
</file>
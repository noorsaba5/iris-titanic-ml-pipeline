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d644cb9b03303f/Documents/Skillsoft/Python Nov 2025/"/>
    </mc:Choice>
  </mc:AlternateContent>
  <xr:revisionPtr revIDLastSave="0" documentId="8_{659693CB-EF04-40DB-B1AF-D6CEEEDA88F6}" xr6:coauthVersionLast="47" xr6:coauthVersionMax="47" xr10:uidLastSave="{00000000-0000-0000-0000-000000000000}"/>
  <bookViews>
    <workbookView xWindow="-108" yWindow="-108" windowWidth="23256" windowHeight="12456" activeTab="2" xr2:uid="{EFF11A9E-5D10-486C-9BB8-6581312D99BC}"/>
  </bookViews>
  <sheets>
    <sheet name="Overview" sheetId="1" r:id="rId1"/>
    <sheet name="Regression" sheetId="2" r:id="rId2"/>
    <sheet name="Classification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N58" i="3" l="1"/>
  <c r="AI58" i="3"/>
  <c r="AN56" i="3"/>
  <c r="AI56" i="3"/>
  <c r="S56" i="3"/>
  <c r="AN55" i="3"/>
  <c r="AI55" i="3"/>
  <c r="S55" i="3"/>
  <c r="AN54" i="3"/>
  <c r="AI54" i="3"/>
  <c r="S54" i="3"/>
  <c r="AN53" i="3"/>
  <c r="AI53" i="3"/>
  <c r="S53" i="3"/>
  <c r="J15" i="3" a="1"/>
  <c r="J15" i="3" s="1"/>
  <c r="I5" i="3" a="1"/>
  <c r="I5" i="3" s="1"/>
  <c r="G50" i="2" a="1"/>
  <c r="F50" i="2" a="1"/>
  <c r="F50" i="2" s="1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O23" i="1"/>
  <c r="N23" i="1"/>
  <c r="J23" i="1"/>
  <c r="O22" i="1"/>
  <c r="N22" i="1"/>
  <c r="J22" i="1"/>
  <c r="O21" i="1"/>
  <c r="N21" i="1"/>
  <c r="J21" i="1"/>
  <c r="O20" i="1"/>
  <c r="N20" i="1"/>
  <c r="J20" i="1"/>
  <c r="O19" i="1"/>
  <c r="N19" i="1"/>
  <c r="J19" i="1"/>
  <c r="O18" i="1"/>
  <c r="N18" i="1"/>
  <c r="J18" i="1"/>
  <c r="O17" i="1"/>
  <c r="N17" i="1"/>
  <c r="J17" i="1"/>
  <c r="O16" i="1"/>
  <c r="N16" i="1"/>
  <c r="J16" i="1"/>
  <c r="O15" i="1"/>
  <c r="N15" i="1"/>
  <c r="J15" i="1"/>
  <c r="O14" i="1"/>
  <c r="N14" i="1"/>
  <c r="J14" i="1"/>
  <c r="O13" i="1"/>
  <c r="N13" i="1"/>
  <c r="J13" i="1"/>
  <c r="O12" i="1"/>
  <c r="N12" i="1"/>
  <c r="J12" i="1"/>
  <c r="F15" i="2" l="1"/>
  <c r="G15" i="2" s="1"/>
  <c r="F13" i="2"/>
  <c r="H13" i="2" s="1"/>
  <c r="F8" i="2"/>
  <c r="G8" i="2" s="1"/>
  <c r="F14" i="2"/>
  <c r="H14" i="2" s="1"/>
  <c r="F10" i="2"/>
  <c r="H10" i="2" s="1"/>
  <c r="F11" i="2"/>
  <c r="G11" i="2" s="1"/>
  <c r="F16" i="2"/>
  <c r="G16" i="2" s="1"/>
  <c r="F17" i="2"/>
  <c r="H17" i="2" s="1"/>
  <c r="F12" i="2"/>
  <c r="H12" i="2" s="1"/>
  <c r="F9" i="2"/>
  <c r="G9" i="2" s="1"/>
  <c r="I59" i="2"/>
  <c r="I53" i="2"/>
  <c r="I55" i="2"/>
  <c r="F61" i="2"/>
  <c r="I58" i="2"/>
  <c r="I52" i="2"/>
  <c r="I57" i="2"/>
  <c r="I51" i="2"/>
  <c r="F62" i="2"/>
  <c r="I56" i="2"/>
  <c r="I50" i="2"/>
  <c r="G14" i="2"/>
  <c r="G50" i="2"/>
  <c r="J53" i="2" s="1"/>
  <c r="I54" i="2"/>
  <c r="G13" i="2"/>
  <c r="H16" i="2" l="1"/>
  <c r="H8" i="2"/>
  <c r="H15" i="2"/>
  <c r="G10" i="2"/>
  <c r="J55" i="2"/>
  <c r="H9" i="2"/>
  <c r="H11" i="2"/>
  <c r="G17" i="2"/>
  <c r="J58" i="2"/>
  <c r="J57" i="2"/>
  <c r="J51" i="2"/>
  <c r="J54" i="2"/>
  <c r="G12" i="2"/>
  <c r="G20" i="2" s="1"/>
  <c r="J56" i="2"/>
  <c r="J59" i="2"/>
  <c r="I61" i="2"/>
  <c r="I62" i="2"/>
  <c r="G61" i="2"/>
  <c r="G62" i="2"/>
  <c r="J50" i="2"/>
  <c r="J52" i="2"/>
  <c r="H20" i="2" l="1"/>
  <c r="H21" i="2" s="1"/>
  <c r="H19" i="2"/>
  <c r="G19" i="2"/>
  <c r="J62" i="2"/>
  <c r="J6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<sst xmlns="http://schemas.openxmlformats.org/spreadsheetml/2006/main" count="359" uniqueCount="241">
  <si>
    <t>Raw Python</t>
  </si>
  <si>
    <t>EDA</t>
  </si>
  <si>
    <t>Inferential Stats</t>
  </si>
  <si>
    <t>Confirmatory Analysis</t>
  </si>
  <si>
    <t>Predictive Analysis</t>
  </si>
  <si>
    <t>Y=F(x)</t>
  </si>
  <si>
    <t>Classification</t>
  </si>
  <si>
    <t>Regression</t>
  </si>
  <si>
    <t>Forecasting</t>
  </si>
  <si>
    <t>Clustering/Segmentation</t>
  </si>
  <si>
    <t>Recommendation systems</t>
  </si>
  <si>
    <t>PCA (Dimensionality reduction
technique)</t>
  </si>
  <si>
    <t>Unsupervised Learning
In unsupervised learning, 
we don't have a target
but we are learning the
hidden patterns
within the data.</t>
  </si>
  <si>
    <t>Supervised Learning
In supervised learning,
We have a target variable/
dependent variable/Y.</t>
  </si>
  <si>
    <t>Y=F(x)
Y is continuous in nature;
x is categorical or continuous
in nature
Ex - Price modeling; 
Amount of loan to be disbursed</t>
  </si>
  <si>
    <t>Y=F(x)
Y is categorical in nature;
x is categorical + continuous
in nature.
Ex -Identification of defaulter
vs non-defaulter, Churn modeling</t>
  </si>
  <si>
    <t>Y=F(t) or Y=F(t, x)
Y is continuous in nature;
x is categorical + continuous
in nature.
T is time
Ex -Weather forecasting, Stock 
prediction</t>
  </si>
  <si>
    <t>Univariate Forecasting</t>
  </si>
  <si>
    <t>Multivariate forecasting</t>
  </si>
  <si>
    <t>Sales</t>
  </si>
  <si>
    <t>Month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</si>
  <si>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</si>
  <si>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</si>
  <si>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</si>
  <si>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</si>
  <si>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</si>
  <si>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</si>
  <si>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</si>
  <si>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</si>
  <si>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</si>
  <si>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</si>
  <si>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</si>
  <si>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</si>
  <si>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Marketing Expense</t>
  </si>
  <si>
    <t>Y</t>
  </si>
  <si>
    <t>Target/dependent
variable</t>
  </si>
  <si>
    <t>X</t>
  </si>
  <si>
    <t>Independent variable,
predictors, features</t>
  </si>
  <si>
    <t>Maths</t>
  </si>
  <si>
    <t>Y = mX + C
m - slope/gradient
C - intercept/constant</t>
  </si>
  <si>
    <t>Y = BX + C + E
B - weights/coefficients
C - intercept/bias/constant
E - Error</t>
  </si>
  <si>
    <t>Goal -&gt; Identify the best fit line (minimize the error)</t>
  </si>
  <si>
    <t>Y = B1X1 + B2X2 + …BnXn + C + E
Y = BnXn + C + E
Bn - weights/coefficients
C - intercept/bias/constant
E - Error</t>
  </si>
  <si>
    <t>Analytics/Data Science</t>
  </si>
  <si>
    <t>Actual Y</t>
  </si>
  <si>
    <t>Predicted Y</t>
  </si>
  <si>
    <t>Error = Actual Y - Predicted Y</t>
  </si>
  <si>
    <t>|Actual Y - Predicted Y|</t>
  </si>
  <si>
    <t>(Actual Y - Predicted Y)^2</t>
  </si>
  <si>
    <t>SSE(Sum of squared Errors)</t>
  </si>
  <si>
    <t>MSE(Mean square error)</t>
  </si>
  <si>
    <t>MAE (mean absolute error)</t>
  </si>
  <si>
    <t>RMSE(Root mean squared error)</t>
  </si>
  <si>
    <t>Steps in Data Science (Regression)</t>
  </si>
  <si>
    <t>0. Requirement Gathering</t>
  </si>
  <si>
    <t>1. Data Gathering/Data Import</t>
  </si>
  <si>
    <t>2. Data/Metadata Auditing</t>
  </si>
  <si>
    <t>3. Data Cleaning (Addressing the issues defines in second step)</t>
  </si>
  <si>
    <t>Loan amount to be disbursed</t>
  </si>
  <si>
    <t>(Problem has to be solved at the loan level)</t>
  </si>
  <si>
    <t>…</t>
  </si>
  <si>
    <t>ABC123</t>
  </si>
  <si>
    <t>DEC321</t>
  </si>
  <si>
    <t># borrowers</t>
  </si>
  <si>
    <t># transactions</t>
  </si>
  <si>
    <t>Collateral worth</t>
  </si>
  <si>
    <t># of products</t>
  </si>
  <si>
    <t>Avg CIBIL Score</t>
  </si>
  <si>
    <t>Loan ID</t>
  </si>
  <si>
    <t>Transaction table</t>
  </si>
  <si>
    <t>Customer table</t>
  </si>
  <si>
    <t>Product table</t>
  </si>
  <si>
    <t>CIBIL Score</t>
  </si>
  <si>
    <t>Data Available for us</t>
  </si>
  <si>
    <t>Final Consolidated 
Data (After using our
data manipulation abilities)</t>
  </si>
  <si>
    <t>4. EDA (Get the data at analysis level)
Exploratory Data Analysis</t>
  </si>
  <si>
    <t>5. Data preprocessing</t>
  </si>
  <si>
    <t>Split of the data</t>
  </si>
  <si>
    <t>Train</t>
  </si>
  <si>
    <t>Test</t>
  </si>
  <si>
    <t>Validating the algorithm</t>
  </si>
  <si>
    <t>Numerical variable</t>
  </si>
  <si>
    <t>Categorical variable</t>
  </si>
  <si>
    <t>Tranformation/Scaling of data</t>
  </si>
  <si>
    <t>1. Label Encoding
2. One-hot Encoding 
(Dummy Encoding)</t>
  </si>
  <si>
    <t>Scaling operations:
1. Standard Scaling (z_score)
2. Min max Scaling</t>
  </si>
  <si>
    <t>Age</t>
  </si>
  <si>
    <t>Salary</t>
  </si>
  <si>
    <t>z_score = (X - mean(X)) / Std. Dev.(X)</t>
  </si>
  <si>
    <t>Z_Age</t>
  </si>
  <si>
    <t>Z_Salary</t>
  </si>
  <si>
    <t>Mean</t>
  </si>
  <si>
    <t>Std. Dev.</t>
  </si>
  <si>
    <t>(X - min(X)) / (max(X) - min(X))</t>
  </si>
  <si>
    <t>Min = 0
Max = 1</t>
  </si>
  <si>
    <t>Categorical Variable</t>
  </si>
  <si>
    <t>Ordinal (Have order)</t>
  </si>
  <si>
    <t>Nominal (Don't have any order)</t>
  </si>
  <si>
    <t>Performance Rating:
Excellent - 5
Good - 4
Average - 3
Poor - 2
Fail - 1</t>
  </si>
  <si>
    <t>Label Encoding</t>
  </si>
  <si>
    <t>Gender
Male
Female
Others</t>
  </si>
  <si>
    <t>Gender_Male</t>
  </si>
  <si>
    <t>Gender_Female</t>
  </si>
  <si>
    <t>Gender_Others</t>
  </si>
  <si>
    <t>Gender</t>
  </si>
  <si>
    <t>Male</t>
  </si>
  <si>
    <t>Female</t>
  </si>
  <si>
    <t>Others</t>
  </si>
  <si>
    <t>Encoding of data</t>
  </si>
  <si>
    <t>Training (learning) the algorithm</t>
  </si>
  <si>
    <t>6. Modeling</t>
  </si>
  <si>
    <t>Fitting the model on train data</t>
  </si>
  <si>
    <t>7. Validation of Model</t>
  </si>
  <si>
    <t>MAE, MSE, RMSE, SSE</t>
  </si>
  <si>
    <t>R-sq, Adj. R-sq</t>
  </si>
  <si>
    <t>Assessing the error metrics
Error should be lower</t>
  </si>
  <si>
    <t xml:space="preserve">Assessing the accuracy Metrics
Accuracy should be higher
</t>
  </si>
  <si>
    <t>Linear Regression/OLS (Statistical Model)</t>
  </si>
  <si>
    <t>8. Validation of Assumptions</t>
  </si>
  <si>
    <t>9. Validation of final Results</t>
  </si>
  <si>
    <t>10. Deployment of Model</t>
  </si>
  <si>
    <t>Dummy Encoding/
One-hot encoding</t>
  </si>
  <si>
    <t>1. Helps us in optimization
of error equation of linear
models.
2. Helps in optimization for
distance based algorithms.</t>
  </si>
  <si>
    <t>sklearn - ML/predictive analysis</t>
  </si>
  <si>
    <t>statsmodel - statistical modeling (Linear/Logistic regression)</t>
  </si>
  <si>
    <t>Variable Reduction technique</t>
  </si>
  <si>
    <t>1. # of records &gt;= # of variables
2. All the variables should follow normal distribution (if not 
all, then atleast target should follow normal distribution)
3. There should be a linear relationship between X and Y variables.
4. There shouldn't be multicollinearity in the data.
5. mean of residuals/error is zero
6. Normality of the residuals/error
7. homoscedasticity of residuals/errors
...</t>
  </si>
  <si>
    <t>Decile Analysis
Dividing the target in 10 deciles.</t>
  </si>
  <si>
    <t>HW: Explore what R-sq is.
=&gt; How much variance the model can explain.
R-sq: 1 - (ESS / TSS)
ESS - Explained sum of squares
TSS - Total sum of squares
What's the difference between
R-sq. and adj. R-sq</t>
  </si>
  <si>
    <t>Logistic Regression/Logit (Statistical Model)</t>
  </si>
  <si>
    <t>Statstical Models</t>
  </si>
  <si>
    <t>Highly Interpretable</t>
  </si>
  <si>
    <t>Machine Learning Models</t>
  </si>
  <si>
    <t>Deep Learning Models</t>
  </si>
  <si>
    <t>Low interpretability</t>
  </si>
  <si>
    <t>No interpretability</t>
  </si>
  <si>
    <t>Y (Continuous)</t>
  </si>
  <si>
    <t>Y (Categorical)</t>
  </si>
  <si>
    <t>Binary Classification</t>
  </si>
  <si>
    <t>0 or 1</t>
  </si>
  <si>
    <t>S-curve (sigmoid curve)</t>
  </si>
  <si>
    <t>Y = e^z / (1+e^z)
z = mX + C
m - slope/gradient
C - intercept/constant</t>
  </si>
  <si>
    <t>Y = e^z / (1+e^z)
z = BX+C+E
B - weights/coefficients
C - intercept/constant
E-Error</t>
  </si>
  <si>
    <t>Y = e^z / (1+e^z)
z = BnXn+C+E
Bn - weights/coefficients
C - intercept/constant
E-Error</t>
  </si>
  <si>
    <t>Churn Modeling</t>
  </si>
  <si>
    <t>X1</t>
  </si>
  <si>
    <t>X2</t>
  </si>
  <si>
    <t>X3</t>
  </si>
  <si>
    <t xml:space="preserve">O/P </t>
  </si>
  <si>
    <t>Probability - 0 to 1</t>
  </si>
  <si>
    <t>Y = e^z / (1+e^z)</t>
  </si>
  <si>
    <t>Y(1+e^z) = e^z</t>
  </si>
  <si>
    <t>Y = e^z - Ye^z</t>
  </si>
  <si>
    <t>Y = e^z(1-Y)</t>
  </si>
  <si>
    <t>e^z = Y / (1-Y)</t>
  </si>
  <si>
    <t>z = log(Y / (1-Y))</t>
  </si>
  <si>
    <t>mX + C = log(Y/(1-Y))</t>
  </si>
  <si>
    <t>log of odds</t>
  </si>
  <si>
    <t>log of odds - used for interpretation of weights in results</t>
  </si>
  <si>
    <t>Steps in Data Science (Classification)</t>
  </si>
  <si>
    <t>1. # of records &gt;= # of variables
2. All the variables should follow a normal distribution (X vars).
3. There should be a linear relationship between X and Y variables.
4. There shouldn't be multicollinearity in the data.
5. mean of residuals/error is zero
6. Normality of the residuals/error
7. homoscedasticity of residuals/errors
...</t>
  </si>
  <si>
    <t>Defaulter vs non -defaulter</t>
  </si>
  <si>
    <t>VIF, F-regression, t-stats</t>
  </si>
  <si>
    <t>VIF, Somer's D Score (ROC AUC Score), z-stats</t>
  </si>
  <si>
    <t>Imbalanced data</t>
  </si>
  <si>
    <t>Balanced Data</t>
  </si>
  <si>
    <t>Imbalanced Data</t>
  </si>
  <si>
    <t>Rare Event Data</t>
  </si>
  <si>
    <t>50:50</t>
  </si>
  <si>
    <t>60:40</t>
  </si>
  <si>
    <t>75:25</t>
  </si>
  <si>
    <t>80:20</t>
  </si>
  <si>
    <t>90:10</t>
  </si>
  <si>
    <t>95:5</t>
  </si>
  <si>
    <t>99:1</t>
  </si>
  <si>
    <t>99.9:0.1</t>
  </si>
  <si>
    <t>Churn modeling</t>
  </si>
  <si>
    <t>Attrition problem</t>
  </si>
  <si>
    <t>Defaulter vs 
non-defaulter</t>
  </si>
  <si>
    <t>Cats vs Dogs</t>
  </si>
  <si>
    <t>Spam vs
non-spam</t>
  </si>
  <si>
    <t>Fraud detection</t>
  </si>
  <si>
    <t>Disease prediction</t>
  </si>
  <si>
    <t>Linear Regression
.fit() - learning from data
.fit_transform() - learning + applying the learning
on the data
. transform() - Apply the knowledge on
the data
Predict =&gt; .predict(actual_y, predicted_y)</t>
  </si>
  <si>
    <t>.fit()
.predict(actual_y, predicted_y) - predict the probabilities  (define the class)</t>
  </si>
  <si>
    <t>OLS (Ordinary Least Square)
.fit()
Predict =&gt; .predict(actual_y, predicted_y)</t>
  </si>
  <si>
    <t>Logistic Regression
.fit() - learning from data
.fit_transform() - learning + applying the learning
on the data
. transform() - Apply the knowledge on
the data
.predict(actual_y, predicted_y) - predict the class - 0 or 1
.predict_proba(actual_y, predicted_y) - predict the probabilities (define the class) - 
0 to 1</t>
  </si>
  <si>
    <t>Binary Cross Entropy / Negative log likelihood
estimation (NLLE)</t>
  </si>
  <si>
    <r>
      <t xml:space="preserve">Accuracy
</t>
    </r>
    <r>
      <rPr>
        <b/>
        <sz val="11"/>
        <color theme="1"/>
        <rFont val="Calibri"/>
        <family val="2"/>
        <scheme val="minor"/>
      </rPr>
      <t>Confusion matrix</t>
    </r>
    <r>
      <rPr>
        <sz val="11"/>
        <color theme="1"/>
        <rFont val="Calibri"/>
        <family val="2"/>
        <scheme val="minor"/>
      </rPr>
      <t xml:space="preserve">
Precision
Recall
F1 Score
TPR
FPR
1-FPR
AUC ROC Score</t>
    </r>
  </si>
  <si>
    <t>Horizontal/Wide Data</t>
  </si>
  <si>
    <t>Vertical/Long Data</t>
  </si>
  <si>
    <t>Confusion Matrix (Cross table)</t>
  </si>
  <si>
    <t>Actual Y\Predicted Y</t>
  </si>
  <si>
    <t>Col Total</t>
  </si>
  <si>
    <t>Row Total</t>
  </si>
  <si>
    <t>TP</t>
  </si>
  <si>
    <t>TN</t>
  </si>
  <si>
    <t>FN</t>
  </si>
  <si>
    <t>FP</t>
  </si>
  <si>
    <t>TP + FN</t>
  </si>
  <si>
    <t>FP + TN</t>
  </si>
  <si>
    <t>TP + FP</t>
  </si>
  <si>
    <t>TN + FN</t>
  </si>
  <si>
    <t>TP + FP + TN + FN</t>
  </si>
  <si>
    <t>Ex - 1000</t>
  </si>
  <si>
    <t>Accuracy</t>
  </si>
  <si>
    <t>(TP + TN) / (TP + FP + TN + FN)</t>
  </si>
  <si>
    <t>TP / (TP + FN)</t>
  </si>
  <si>
    <t>FPR</t>
  </si>
  <si>
    <t>FP / (FP + TN)</t>
  </si>
  <si>
    <t>1-FPR</t>
  </si>
  <si>
    <t>Recall</t>
  </si>
  <si>
    <t>1s</t>
  </si>
  <si>
    <t>0s</t>
  </si>
  <si>
    <t>Row % of 1s in actual data</t>
  </si>
  <si>
    <t>Row % of 0s in actual data</t>
  </si>
  <si>
    <t>Precision</t>
  </si>
  <si>
    <t>Col % of 1s in actual data</t>
  </si>
  <si>
    <t>Col % of 0s in actual data</t>
  </si>
  <si>
    <t>F1 Score</t>
  </si>
  <si>
    <t>2PR/(P+R)</t>
  </si>
  <si>
    <t>Harmonic mean of
precision &amp; recall</t>
  </si>
  <si>
    <t>TPR</t>
  </si>
  <si>
    <t>Recall (for 1s)</t>
  </si>
  <si>
    <t>Precision (for 1s)</t>
  </si>
  <si>
    <t>TP / (TP + FP)</t>
  </si>
  <si>
    <t>undefined</t>
  </si>
  <si>
    <t>Actual Y\Predicted Y
(Threshold = 0.5)</t>
  </si>
  <si>
    <t>Sensitivity</t>
  </si>
  <si>
    <t>Specificity</t>
  </si>
  <si>
    <t>Sensitivity + specificity</t>
  </si>
  <si>
    <t>Actual Y\Predicted Y
(Threshold = 0.3)</t>
  </si>
  <si>
    <t>This technique helps
in narrow down the
threshold values</t>
  </si>
  <si>
    <t>Note: There is a trade-off between sensitivity &amp;
specificity.</t>
  </si>
  <si>
    <t>85:15</t>
  </si>
  <si>
    <t>Most of the cases
will be attributed towards
dominant class</t>
  </si>
  <si>
    <t>Stratified Sampling</t>
  </si>
  <si>
    <t>70:30</t>
  </si>
  <si>
    <t>Test data will
contain 30%
block of both 0s and 
1s</t>
  </si>
  <si>
    <t>Train data will
contain 70%
block of both 0s and
1s</t>
  </si>
  <si>
    <t>Lift &amp; Gain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</si>
</sst>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1" fillId="0" borderId="0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0" xfId="0" applyFill="1" applyBorder="1"/>
    <xf numFmtId="0" fontId="0" fillId="2" borderId="7" xfId="0" applyFill="1" applyBorder="1"/>
    <xf numFmtId="0" fontId="0" fillId="3" borderId="2" xfId="0" applyFill="1" applyBorder="1"/>
    <xf numFmtId="0" fontId="0" fillId="3" borderId="0" xfId="0" applyFill="1" applyBorder="1"/>
    <xf numFmtId="0" fontId="0" fillId="3" borderId="7" xfId="0" applyFill="1" applyBorder="1"/>
    <xf numFmtId="46" fontId="0" fillId="0" borderId="0" xfId="0" quotePrefix="1" applyNumberFormat="1"/>
    <xf numFmtId="0" fontId="0" fillId="0" borderId="0" xfId="0" quotePrefix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9" xfId="0" applyBorder="1"/>
    <xf numFmtId="0" fontId="0" fillId="4" borderId="0" xfId="0" applyFill="1"/>
    <xf numFmtId="0" fontId="0" fillId="0" borderId="13" xfId="0" applyBorder="1"/>
    <xf numFmtId="9" fontId="0" fillId="0" borderId="0" xfId="1" applyFont="1"/>
    <xf numFmtId="9" fontId="0" fillId="0" borderId="0" xfId="0" applyNumberFormat="1"/>
    <xf numFmtId="0" fontId="0" fillId="0" borderId="1" xfId="0" applyBorder="1" applyAlignment="1">
      <alignment wrapText="1"/>
    </xf>
    <xf numFmtId="165" fontId="0" fillId="0" borderId="0" xfId="1" applyNumberFormat="1" applyFont="1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Regression!$F$49</c:f>
              <c:strCache>
                <c:ptCount val="1"/>
                <c:pt idx="0">
                  <c:v>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Regression!$F$50:$F$59</c:f>
              <c:numCache>
                <c:formatCode>General</c:formatCode>
                <c:ptCount val="10"/>
                <c:pt idx="0">
                  <c:v>44</c:v>
                </c:pt>
                <c:pt idx="1">
                  <c:v>41</c:v>
                </c:pt>
                <c:pt idx="2">
                  <c:v>55</c:v>
                </c:pt>
                <c:pt idx="3">
                  <c:v>25</c:v>
                </c:pt>
                <c:pt idx="4">
                  <c:v>43</c:v>
                </c:pt>
                <c:pt idx="5">
                  <c:v>25</c:v>
                </c:pt>
                <c:pt idx="6">
                  <c:v>51</c:v>
                </c:pt>
                <c:pt idx="7">
                  <c:v>35</c:v>
                </c:pt>
                <c:pt idx="8">
                  <c:v>28</c:v>
                </c:pt>
                <c:pt idx="9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12-40E9-8F1F-42EB16422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1410687"/>
        <c:axId val="401411103"/>
      </c:lineChart>
      <c:lineChart>
        <c:grouping val="standard"/>
        <c:varyColors val="0"/>
        <c:ser>
          <c:idx val="1"/>
          <c:order val="1"/>
          <c:tx>
            <c:strRef>
              <c:f>Regression!$G$49</c:f>
              <c:strCache>
                <c:ptCount val="1"/>
                <c:pt idx="0">
                  <c:v>Salary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Regression!$G$50:$G$59</c:f>
              <c:numCache>
                <c:formatCode>General</c:formatCode>
                <c:ptCount val="10"/>
                <c:pt idx="0">
                  <c:v>88213.689328784807</c:v>
                </c:pt>
                <c:pt idx="1">
                  <c:v>52495.044965093286</c:v>
                </c:pt>
                <c:pt idx="2">
                  <c:v>82698.684993910138</c:v>
                </c:pt>
                <c:pt idx="3">
                  <c:v>71261.087880254592</c:v>
                </c:pt>
                <c:pt idx="4">
                  <c:v>79251.461484208165</c:v>
                </c:pt>
                <c:pt idx="5">
                  <c:v>52833.080411516319</c:v>
                </c:pt>
                <c:pt idx="6">
                  <c:v>54106.183840382029</c:v>
                </c:pt>
                <c:pt idx="7">
                  <c:v>85676.474101943968</c:v>
                </c:pt>
                <c:pt idx="8">
                  <c:v>58055.383462334779</c:v>
                </c:pt>
                <c:pt idx="9">
                  <c:v>56683.778660710668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12-40E9-8F1F-42EB16422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8869423"/>
        <c:axId val="478864431"/>
      </c:lineChart>
      <c:catAx>
        <c:axId val="401410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411103"/>
        <c:crosses val="autoZero"/>
        <c:auto val="1"/>
        <c:lblAlgn val="ctr"/>
        <c:lblOffset val="100"/>
        <c:noMultiLvlLbl val="0"/>
      </c:catAx>
      <c:valAx>
        <c:axId val="40141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410687"/>
        <c:crosses val="autoZero"/>
        <c:crossBetween val="between"/>
      </c:valAx>
      <c:valAx>
        <c:axId val="47886443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869423"/>
        <c:crosses val="max"/>
        <c:crossBetween val="between"/>
      </c:valAx>
      <c:catAx>
        <c:axId val="478869423"/>
        <c:scaling>
          <c:orientation val="minMax"/>
        </c:scaling>
        <c:delete val="1"/>
        <c:axPos val="b"/>
        <c:majorTickMark val="out"/>
        <c:minorTickMark val="none"/>
        <c:tickLblPos val="nextTo"/>
        <c:crossAx val="4788644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Regression!$I$49</c:f>
              <c:strCache>
                <c:ptCount val="1"/>
                <c:pt idx="0">
                  <c:v>Z_Age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Regression!$I$50:$I$59</c:f>
              <c:numCache>
                <c:formatCode>General</c:formatCode>
                <c:ptCount val="10"/>
                <c:pt idx="0">
                  <c:v>0.63984960396449775</c:v>
                </c:pt>
                <c:pt idx="1">
                  <c:v>0.36165412397993346</c:v>
                </c:pt>
                <c:pt idx="2">
                  <c:v>1.6598996972412337</c:v>
                </c:pt>
                <c:pt idx="3">
                  <c:v>-1.1220551026044094</c:v>
                </c:pt>
                <c:pt idx="4">
                  <c:v>0.54711777730297628</c:v>
                </c:pt>
                <c:pt idx="5">
                  <c:v>-1.1220551026044094</c:v>
                </c:pt>
                <c:pt idx="6">
                  <c:v>1.2889723905951478</c:v>
                </c:pt>
                <c:pt idx="7">
                  <c:v>-0.19473683598919514</c:v>
                </c:pt>
                <c:pt idx="8">
                  <c:v>-0.84385962261984515</c:v>
                </c:pt>
                <c:pt idx="9">
                  <c:v>-1.214786929265931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9D-4612-BFAD-16D7E8391864}"/>
            </c:ext>
          </c:extLst>
        </c:ser>
        <c:ser>
          <c:idx val="1"/>
          <c:order val="1"/>
          <c:tx>
            <c:strRef>
              <c:f>Regression!$J$49</c:f>
              <c:strCache>
                <c:ptCount val="1"/>
                <c:pt idx="0">
                  <c:v>Z_Salary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Regression!$J$50:$J$59</c:f>
              <c:numCache>
                <c:formatCode>General</c:formatCode>
                <c:ptCount val="10"/>
                <c:pt idx="0">
                  <c:v>1.433048333810256</c:v>
                </c:pt>
                <c:pt idx="1">
                  <c:v>-1.1152951873575212</c:v>
                </c:pt>
                <c:pt idx="2">
                  <c:v>1.0395808375948543</c:v>
                </c:pt>
                <c:pt idx="3">
                  <c:v>0.22356648370353988</c:v>
                </c:pt>
                <c:pt idx="4">
                  <c:v>0.79363898136091382</c:v>
                </c:pt>
                <c:pt idx="5">
                  <c:v>-1.0911780783472798</c:v>
                </c:pt>
                <c:pt idx="6">
                  <c:v>-1.000348626879511</c:v>
                </c:pt>
                <c:pt idx="7">
                  <c:v>1.2520309379848826</c:v>
                </c:pt>
                <c:pt idx="8">
                  <c:v>-0.7185933293399539</c:v>
                </c:pt>
                <c:pt idx="9">
                  <c:v>-0.81645035253018605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9D-4612-BFAD-16D7E8391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5723695"/>
        <c:axId val="475721199"/>
      </c:lineChart>
      <c:catAx>
        <c:axId val="475723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721199"/>
        <c:crosses val="autoZero"/>
        <c:auto val="1"/>
        <c:lblAlgn val="ctr"/>
        <c:lblOffset val="100"/>
        <c:noMultiLvlLbl val="0"/>
      </c:catAx>
      <c:valAx>
        <c:axId val="47572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72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45720</xdr:colOff>
      <xdr:row>36</xdr:row>
      <xdr:rowOff>41910</xdr:rowOff>
    </xdr:from>
    <xdr:to>
      <xdr:col>17</xdr:col>
      <xdr:colOff>358140</xdr:colOff>
      <xdr:row>48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4DD825-1B02-4ACA-B398-E5E452075E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83820</xdr:colOff>
      <xdr:row>48</xdr:row>
      <xdr:rowOff>148590</xdr:rowOff>
    </xdr:from>
    <xdr:to>
      <xdr:col>17</xdr:col>
      <xdr:colOff>388620</xdr:colOff>
      <xdr:row>57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A9993C-9EFC-4D11-BAFD-620555D37F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D32A4-23B7-40B6-8CAB-48909E6F9C89}">
  <dimension ref="A1:O23"/>
  <sheetViews>
    <sheetView workbookViewId="0">
      <selection activeCell="I7" sqref="I7"/>
    </sheetView>
  </sheetViews>
  <sheetFormatPr defaultRowHeight="14.4" x14ac:dyDescent="0.3"/>
  <cols>
    <col min="1" max="2" width="16" bestFit="1" customWidth="1"/>
    <col min="3" max="3" width="21.109375" bestFit="1" customWidth="1"/>
    <col min="6" max="6" width="22.6640625" bestFit="1" customWidth="1"/>
    <col min="7" max="7" width="25" bestFit="1" customWidth="1"/>
    <col min="9" max="9" width="22.109375" bestFit="1" customWidth="1"/>
    <col min="10" max="10" width="5.109375" bestFit="1" customWidth="1"/>
    <col min="11" max="11" width="17.21875" bestFit="1" customWidth="1"/>
    <col min="15" max="15" width="16.44140625" bestFit="1" customWidth="1"/>
  </cols>
  <sheetData>
    <row r="1" spans="1:15" x14ac:dyDescent="0.3">
      <c r="A1" t="s">
        <v>0</v>
      </c>
    </row>
    <row r="2" spans="1:15" x14ac:dyDescent="0.3">
      <c r="I2" t="s">
        <v>130</v>
      </c>
      <c r="K2" t="s">
        <v>131</v>
      </c>
    </row>
    <row r="3" spans="1:15" x14ac:dyDescent="0.3">
      <c r="I3" t="s">
        <v>132</v>
      </c>
      <c r="K3" t="s">
        <v>134</v>
      </c>
    </row>
    <row r="4" spans="1:15" x14ac:dyDescent="0.3">
      <c r="A4" t="s">
        <v>1</v>
      </c>
      <c r="C4" s="35" t="s">
        <v>3</v>
      </c>
      <c r="I4" t="s">
        <v>133</v>
      </c>
      <c r="K4" t="s">
        <v>135</v>
      </c>
    </row>
    <row r="5" spans="1:15" x14ac:dyDescent="0.3">
      <c r="A5" t="s">
        <v>2</v>
      </c>
      <c r="C5" s="35"/>
    </row>
    <row r="7" spans="1:15" ht="115.2" customHeight="1" x14ac:dyDescent="0.3">
      <c r="A7" t="s">
        <v>4</v>
      </c>
      <c r="B7" s="35" t="s">
        <v>4</v>
      </c>
      <c r="C7" s="36" t="s">
        <v>13</v>
      </c>
      <c r="D7" t="s">
        <v>5</v>
      </c>
      <c r="F7" t="s">
        <v>7</v>
      </c>
      <c r="G7" s="2" t="s">
        <v>14</v>
      </c>
    </row>
    <row r="8" spans="1:15" x14ac:dyDescent="0.3">
      <c r="B8" s="35"/>
      <c r="C8" s="36"/>
    </row>
    <row r="9" spans="1:15" ht="144" x14ac:dyDescent="0.3">
      <c r="B9" s="35"/>
      <c r="C9" s="36"/>
      <c r="F9" t="s">
        <v>6</v>
      </c>
      <c r="G9" s="2" t="s">
        <v>15</v>
      </c>
    </row>
    <row r="10" spans="1:15" x14ac:dyDescent="0.3">
      <c r="B10" s="35"/>
      <c r="C10" s="36"/>
      <c r="I10" t="s">
        <v>17</v>
      </c>
      <c r="M10" t="s">
        <v>18</v>
      </c>
    </row>
    <row r="11" spans="1:15" ht="144" x14ac:dyDescent="0.3">
      <c r="B11" s="35"/>
      <c r="C11" s="36"/>
      <c r="F11" t="s">
        <v>8</v>
      </c>
      <c r="G11" s="2" t="s">
        <v>16</v>
      </c>
      <c r="I11" t="s">
        <v>20</v>
      </c>
      <c r="J11" t="s">
        <v>19</v>
      </c>
      <c r="M11" t="s">
        <v>20</v>
      </c>
      <c r="N11" t="s">
        <v>19</v>
      </c>
      <c r="O11" t="s">
        <v>33</v>
      </c>
    </row>
    <row r="12" spans="1:15" x14ac:dyDescent="0.3">
      <c r="B12" s="35"/>
      <c r="C12" s="36"/>
      <c r="I12" t="s">
        <v>21</v>
      </c>
      <c r="J12">
        <f ca="1">RANDBETWEEN(5000,10000)</f>
        <v>8106</v>
      </c>
      <c r="M12" t="s">
        <v>21</v>
      </c>
      <c r="N12">
        <f ca="1">RANDBETWEEN(7000,12000)</f>
        <v>11240</v>
      </c>
      <c r="O12">
        <f ca="1">RANDBETWEEN(500,1000)</f>
        <v>556</v>
      </c>
    </row>
    <row r="13" spans="1:15" x14ac:dyDescent="0.3">
      <c r="B13" s="35"/>
      <c r="C13" s="36"/>
      <c r="I13" t="s">
        <v>22</v>
      </c>
      <c r="J13">
        <f t="shared" ref="J13:J23" ca="1" si="0">RANDBETWEEN(5000,10000)</f>
        <v>8756</v>
      </c>
      <c r="M13" t="s">
        <v>22</v>
      </c>
      <c r="N13">
        <f t="shared" ref="N13:N23" ca="1" si="1">RANDBETWEEN(7000,12000)</f>
        <v>9394</v>
      </c>
      <c r="O13">
        <f t="shared" ref="O13:O23" ca="1" si="2">RANDBETWEEN(500,1000)</f>
        <v>588</v>
      </c>
    </row>
    <row r="14" spans="1:15" x14ac:dyDescent="0.3">
      <c r="B14" s="35"/>
      <c r="C14" s="36"/>
      <c r="I14" t="s">
        <v>23</v>
      </c>
      <c r="J14">
        <f t="shared" ca="1" si="0"/>
        <v>9397</v>
      </c>
      <c r="M14" t="s">
        <v>23</v>
      </c>
      <c r="N14">
        <f t="shared" ca="1" si="1"/>
        <v>8008</v>
      </c>
      <c r="O14">
        <f t="shared" ca="1" si="2"/>
        <v>705</v>
      </c>
    </row>
    <row r="15" spans="1:15" ht="102.6" customHeight="1" x14ac:dyDescent="0.3">
      <c r="B15" s="35"/>
      <c r="C15" s="36" t="s">
        <v>12</v>
      </c>
      <c r="F15" t="s">
        <v>9</v>
      </c>
      <c r="I15" t="s">
        <v>24</v>
      </c>
      <c r="J15">
        <f t="shared" ca="1" si="0"/>
        <v>8869</v>
      </c>
      <c r="M15" t="s">
        <v>24</v>
      </c>
      <c r="N15">
        <f t="shared" ca="1" si="1"/>
        <v>11715</v>
      </c>
      <c r="O15">
        <f t="shared" ca="1" si="2"/>
        <v>704</v>
      </c>
    </row>
    <row r="16" spans="1:15" ht="50.4" customHeight="1" x14ac:dyDescent="0.3">
      <c r="B16" s="35"/>
      <c r="C16" s="36"/>
      <c r="F16" s="2" t="s">
        <v>11</v>
      </c>
      <c r="I16" t="s">
        <v>25</v>
      </c>
      <c r="J16">
        <f t="shared" ca="1" si="0"/>
        <v>6573</v>
      </c>
      <c r="M16" t="s">
        <v>25</v>
      </c>
      <c r="N16">
        <f t="shared" ca="1" si="1"/>
        <v>8288</v>
      </c>
      <c r="O16">
        <f t="shared" ca="1" si="2"/>
        <v>737</v>
      </c>
    </row>
    <row r="17" spans="3:15" x14ac:dyDescent="0.3">
      <c r="C17" s="36"/>
      <c r="F17" t="s">
        <v>10</v>
      </c>
      <c r="I17" t="s">
        <v>26</v>
      </c>
      <c r="J17">
        <f t="shared" ca="1" si="0"/>
        <v>6235</v>
      </c>
      <c r="M17" t="s">
        <v>26</v>
      </c>
      <c r="N17">
        <f t="shared" ca="1" si="1"/>
        <v>11447</v>
      </c>
      <c r="O17">
        <f t="shared" ca="1" si="2"/>
        <v>876</v>
      </c>
    </row>
    <row r="18" spans="3:15" x14ac:dyDescent="0.3">
      <c r="I18" t="s">
        <v>27</v>
      </c>
      <c r="J18">
        <f t="shared" ca="1" si="0"/>
        <v>5266</v>
      </c>
      <c r="M18" t="s">
        <v>27</v>
      </c>
      <c r="N18">
        <f t="shared" ca="1" si="1"/>
        <v>10207</v>
      </c>
      <c r="O18">
        <f t="shared" ca="1" si="2"/>
        <v>821</v>
      </c>
    </row>
    <row r="19" spans="3:15" x14ac:dyDescent="0.3">
      <c r="I19" t="s">
        <v>28</v>
      </c>
      <c r="J19">
        <f t="shared" ca="1" si="0"/>
        <v>7414</v>
      </c>
      <c r="M19" t="s">
        <v>28</v>
      </c>
      <c r="N19">
        <f t="shared" ca="1" si="1"/>
        <v>9199</v>
      </c>
      <c r="O19">
        <f t="shared" ca="1" si="2"/>
        <v>773</v>
      </c>
    </row>
    <row r="20" spans="3:15" x14ac:dyDescent="0.3">
      <c r="I20" t="s">
        <v>29</v>
      </c>
      <c r="J20">
        <f t="shared" ca="1" si="0"/>
        <v>9478</v>
      </c>
      <c r="M20" t="s">
        <v>29</v>
      </c>
      <c r="N20">
        <f t="shared" ca="1" si="1"/>
        <v>9535</v>
      </c>
      <c r="O20">
        <f t="shared" ca="1" si="2"/>
        <v>734</v>
      </c>
    </row>
    <row r="21" spans="3:15" x14ac:dyDescent="0.3">
      <c r="I21" t="s">
        <v>30</v>
      </c>
      <c r="J21">
        <f t="shared" ca="1" si="0"/>
        <v>6548</v>
      </c>
      <c r="M21" t="s">
        <v>30</v>
      </c>
      <c r="N21">
        <f t="shared" ca="1" si="1"/>
        <v>11109</v>
      </c>
      <c r="O21">
        <f t="shared" ca="1" si="2"/>
        <v>938</v>
      </c>
    </row>
    <row r="22" spans="3:15" x14ac:dyDescent="0.3">
      <c r="I22" t="s">
        <v>31</v>
      </c>
      <c r="J22">
        <f t="shared" ca="1" si="0"/>
        <v>7232</v>
      </c>
      <c r="M22" t="s">
        <v>31</v>
      </c>
      <c r="N22">
        <f t="shared" ca="1" si="1"/>
        <v>11635</v>
      </c>
      <c r="O22">
        <f t="shared" ca="1" si="2"/>
        <v>686</v>
      </c>
    </row>
    <row r="23" spans="3:15" x14ac:dyDescent="0.3">
      <c r="I23" t="s">
        <v>32</v>
      </c>
      <c r="J23">
        <f t="shared" ca="1" si="0"/>
        <v>7149</v>
      </c>
      <c r="M23" t="s">
        <v>32</v>
      </c>
      <c r="N23">
        <f t="shared" ca="1" si="1"/>
        <v>10432</v>
      </c>
      <c r="O23">
        <f t="shared" ca="1" si="2"/>
        <v>918</v>
      </c>
    </row>
  </sheetData>
  <mergeCells count="4">
    <mergeCell ref="C4:C5"/>
    <mergeCell ref="B7:B16"/>
    <mergeCell ref="C15:C17"/>
    <mergeCell ref="C7:C1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A3809-583A-45BA-A0C6-44874F879F56}">
  <dimension ref="A1:O71"/>
  <sheetViews>
    <sheetView topLeftCell="A48" zoomScale="91" zoomScaleNormal="91" workbookViewId="0">
      <selection activeCell="C52" sqref="C52"/>
    </sheetView>
  </sheetViews>
  <sheetFormatPr defaultRowHeight="14.4" x14ac:dyDescent="0.3"/>
  <cols>
    <col min="1" max="1" width="54.33203125" bestFit="1" customWidth="1"/>
    <col min="2" max="2" width="34.44140625" customWidth="1"/>
    <col min="3" max="3" width="27.21875" customWidth="1"/>
    <col min="4" max="4" width="27.21875" bestFit="1" customWidth="1"/>
    <col min="5" max="5" width="18.44140625" bestFit="1" customWidth="1"/>
    <col min="6" max="6" width="26" bestFit="1" customWidth="1"/>
    <col min="7" max="7" width="20.21875" bestFit="1" customWidth="1"/>
    <col min="8" max="8" width="21.6640625" bestFit="1" customWidth="1"/>
    <col min="9" max="9" width="31" bestFit="1" customWidth="1"/>
    <col min="10" max="10" width="24.44140625" customWidth="1"/>
    <col min="12" max="12" width="12.77734375" bestFit="1" customWidth="1"/>
    <col min="13" max="13" width="14.88671875" bestFit="1" customWidth="1"/>
    <col min="14" max="14" width="14.33203125" bestFit="1" customWidth="1"/>
  </cols>
  <sheetData>
    <row r="1" spans="1:11" x14ac:dyDescent="0.3">
      <c r="A1" t="s">
        <v>117</v>
      </c>
    </row>
    <row r="2" spans="1:11" x14ac:dyDescent="0.3">
      <c r="A2" t="s">
        <v>136</v>
      </c>
      <c r="B2" t="s">
        <v>36</v>
      </c>
    </row>
    <row r="3" spans="1:11" ht="37.200000000000003" customHeight="1" x14ac:dyDescent="0.3">
      <c r="A3" s="2" t="s">
        <v>35</v>
      </c>
      <c r="B3" s="2" t="s">
        <v>37</v>
      </c>
    </row>
    <row r="4" spans="1:11" x14ac:dyDescent="0.3">
      <c r="A4" s="1" t="s">
        <v>38</v>
      </c>
      <c r="B4" s="35" t="s">
        <v>43</v>
      </c>
      <c r="C4" s="35"/>
    </row>
    <row r="5" spans="1:11" ht="101.4" thickBot="1" x14ac:dyDescent="0.35">
      <c r="A5" s="2" t="s">
        <v>39</v>
      </c>
      <c r="B5" s="2" t="s">
        <v>40</v>
      </c>
      <c r="C5" s="2" t="s">
        <v>42</v>
      </c>
    </row>
    <row r="6" spans="1:11" x14ac:dyDescent="0.3">
      <c r="D6" s="4"/>
      <c r="E6" s="5"/>
      <c r="F6" s="5"/>
      <c r="G6" s="5"/>
      <c r="H6" s="5"/>
      <c r="I6" s="5"/>
      <c r="J6" s="5"/>
      <c r="K6" s="6"/>
    </row>
    <row r="7" spans="1:11" x14ac:dyDescent="0.3">
      <c r="A7" s="2" t="s">
        <v>41</v>
      </c>
      <c r="D7" s="7" t="s">
        <v>44</v>
      </c>
      <c r="E7" s="8" t="s">
        <v>45</v>
      </c>
      <c r="F7" s="8" t="s">
        <v>46</v>
      </c>
      <c r="G7" s="8" t="s">
        <v>47</v>
      </c>
      <c r="H7" s="8" t="s">
        <v>48</v>
      </c>
      <c r="I7" s="8"/>
      <c r="J7" s="8"/>
      <c r="K7" s="9"/>
    </row>
    <row r="8" spans="1:11" x14ac:dyDescent="0.3">
      <c r="D8" s="7">
        <f ca="1">RANDBETWEEN(100,500)</f>
        <v>121</v>
      </c>
      <c r="E8" s="8">
        <f ca="1">RANDBETWEEN(100,500)</f>
        <v>383</v>
      </c>
      <c r="F8" s="8">
        <f ca="1">D8-E8</f>
        <v>-262</v>
      </c>
      <c r="G8" s="8">
        <f ca="1">ABS(F8)</f>
        <v>262</v>
      </c>
      <c r="H8" s="8">
        <f ca="1">POWER(F8,2)</f>
        <v>68644</v>
      </c>
      <c r="I8" s="8"/>
      <c r="J8" s="8"/>
      <c r="K8" s="9"/>
    </row>
    <row r="9" spans="1:11" x14ac:dyDescent="0.3">
      <c r="D9" s="7">
        <f t="shared" ref="D9:E17" ca="1" si="0">RANDBETWEEN(100,500)</f>
        <v>211</v>
      </c>
      <c r="E9" s="8">
        <f t="shared" ca="1" si="0"/>
        <v>226</v>
      </c>
      <c r="F9" s="8">
        <f t="shared" ref="F9:F17" ca="1" si="1">D9-E9</f>
        <v>-15</v>
      </c>
      <c r="G9" s="8">
        <f t="shared" ref="G9:G17" ca="1" si="2">ABS(F9)</f>
        <v>15</v>
      </c>
      <c r="H9" s="8">
        <f t="shared" ref="H9:H17" ca="1" si="3">POWER(F9,2)</f>
        <v>225</v>
      </c>
      <c r="I9" s="8"/>
      <c r="J9" s="8"/>
      <c r="K9" s="9"/>
    </row>
    <row r="10" spans="1:11" x14ac:dyDescent="0.3">
      <c r="D10" s="7">
        <f t="shared" ca="1" si="0"/>
        <v>129</v>
      </c>
      <c r="E10" s="8">
        <f t="shared" ca="1" si="0"/>
        <v>161</v>
      </c>
      <c r="F10" s="8">
        <f t="shared" ca="1" si="1"/>
        <v>-32</v>
      </c>
      <c r="G10" s="8">
        <f t="shared" ca="1" si="2"/>
        <v>32</v>
      </c>
      <c r="H10" s="8">
        <f t="shared" ca="1" si="3"/>
        <v>1024</v>
      </c>
      <c r="I10" s="8"/>
      <c r="J10" s="8"/>
      <c r="K10" s="9"/>
    </row>
    <row r="11" spans="1:11" x14ac:dyDescent="0.3">
      <c r="D11" s="7">
        <f t="shared" ca="1" si="0"/>
        <v>276</v>
      </c>
      <c r="E11" s="8">
        <f t="shared" ca="1" si="0"/>
        <v>321</v>
      </c>
      <c r="F11" s="8">
        <f t="shared" ca="1" si="1"/>
        <v>-45</v>
      </c>
      <c r="G11" s="8">
        <f t="shared" ca="1" si="2"/>
        <v>45</v>
      </c>
      <c r="H11" s="8">
        <f t="shared" ca="1" si="3"/>
        <v>2025</v>
      </c>
      <c r="I11" s="8"/>
      <c r="J11" s="8"/>
      <c r="K11" s="9"/>
    </row>
    <row r="12" spans="1:11" x14ac:dyDescent="0.3">
      <c r="D12" s="7">
        <f t="shared" ca="1" si="0"/>
        <v>214</v>
      </c>
      <c r="E12" s="8">
        <f t="shared" ca="1" si="0"/>
        <v>350</v>
      </c>
      <c r="F12" s="8">
        <f t="shared" ca="1" si="1"/>
        <v>-136</v>
      </c>
      <c r="G12" s="8">
        <f t="shared" ca="1" si="2"/>
        <v>136</v>
      </c>
      <c r="H12" s="8">
        <f t="shared" ca="1" si="3"/>
        <v>18496</v>
      </c>
      <c r="I12" s="8"/>
      <c r="J12" s="8"/>
      <c r="K12" s="9"/>
    </row>
    <row r="13" spans="1:11" x14ac:dyDescent="0.3">
      <c r="D13" s="7">
        <f t="shared" ca="1" si="0"/>
        <v>117</v>
      </c>
      <c r="E13" s="8">
        <f t="shared" ca="1" si="0"/>
        <v>249</v>
      </c>
      <c r="F13" s="8">
        <f t="shared" ca="1" si="1"/>
        <v>-132</v>
      </c>
      <c r="G13" s="8">
        <f t="shared" ca="1" si="2"/>
        <v>132</v>
      </c>
      <c r="H13" s="8">
        <f t="shared" ca="1" si="3"/>
        <v>17424</v>
      </c>
      <c r="I13" s="8"/>
      <c r="J13" s="8"/>
      <c r="K13" s="9"/>
    </row>
    <row r="14" spans="1:11" x14ac:dyDescent="0.3">
      <c r="D14" s="7">
        <f t="shared" ca="1" si="0"/>
        <v>207</v>
      </c>
      <c r="E14" s="8">
        <f t="shared" ca="1" si="0"/>
        <v>389</v>
      </c>
      <c r="F14" s="8">
        <f t="shared" ca="1" si="1"/>
        <v>-182</v>
      </c>
      <c r="G14" s="8">
        <f t="shared" ca="1" si="2"/>
        <v>182</v>
      </c>
      <c r="H14" s="8">
        <f t="shared" ca="1" si="3"/>
        <v>33124</v>
      </c>
      <c r="I14" s="8"/>
      <c r="J14" s="8"/>
      <c r="K14" s="9"/>
    </row>
    <row r="15" spans="1:11" x14ac:dyDescent="0.3">
      <c r="D15" s="7">
        <f t="shared" ca="1" si="0"/>
        <v>484</v>
      </c>
      <c r="E15" s="8">
        <f t="shared" ca="1" si="0"/>
        <v>130</v>
      </c>
      <c r="F15" s="8">
        <f t="shared" ca="1" si="1"/>
        <v>354</v>
      </c>
      <c r="G15" s="8">
        <f t="shared" ca="1" si="2"/>
        <v>354</v>
      </c>
      <c r="H15" s="8">
        <f t="shared" ca="1" si="3"/>
        <v>125316</v>
      </c>
      <c r="I15" s="8"/>
      <c r="J15" s="8"/>
      <c r="K15" s="9"/>
    </row>
    <row r="16" spans="1:11" x14ac:dyDescent="0.3">
      <c r="D16" s="7">
        <f t="shared" ca="1" si="0"/>
        <v>116</v>
      </c>
      <c r="E16" s="8">
        <f t="shared" ca="1" si="0"/>
        <v>358</v>
      </c>
      <c r="F16" s="8">
        <f t="shared" ca="1" si="1"/>
        <v>-242</v>
      </c>
      <c r="G16" s="8">
        <f t="shared" ca="1" si="2"/>
        <v>242</v>
      </c>
      <c r="H16" s="8">
        <f t="shared" ca="1" si="3"/>
        <v>58564</v>
      </c>
      <c r="I16" s="8"/>
      <c r="J16" s="8"/>
      <c r="K16" s="9"/>
    </row>
    <row r="17" spans="1:11" x14ac:dyDescent="0.3">
      <c r="D17" s="7">
        <f t="shared" ca="1" si="0"/>
        <v>422</v>
      </c>
      <c r="E17" s="8">
        <f t="shared" ca="1" si="0"/>
        <v>263</v>
      </c>
      <c r="F17" s="8">
        <f t="shared" ca="1" si="1"/>
        <v>159</v>
      </c>
      <c r="G17" s="8">
        <f t="shared" ca="1" si="2"/>
        <v>159</v>
      </c>
      <c r="H17" s="8">
        <f t="shared" ca="1" si="3"/>
        <v>25281</v>
      </c>
      <c r="I17" s="8"/>
      <c r="J17" s="8"/>
      <c r="K17" s="9"/>
    </row>
    <row r="18" spans="1:11" x14ac:dyDescent="0.3">
      <c r="D18" s="7"/>
      <c r="E18" s="8"/>
      <c r="F18" s="8"/>
      <c r="G18" s="8"/>
      <c r="H18" s="8"/>
      <c r="I18" s="8"/>
      <c r="J18" s="8"/>
      <c r="K18" s="9"/>
    </row>
    <row r="19" spans="1:11" x14ac:dyDescent="0.3">
      <c r="D19" s="7"/>
      <c r="E19" s="8"/>
      <c r="F19" s="8"/>
      <c r="G19" s="8">
        <f ca="1">SUM(G8:G17)</f>
        <v>1559</v>
      </c>
      <c r="H19" s="8">
        <f ca="1">SUM(H8:H17)</f>
        <v>350123</v>
      </c>
      <c r="I19" s="8" t="s">
        <v>49</v>
      </c>
      <c r="J19" s="8"/>
      <c r="K19" s="9"/>
    </row>
    <row r="20" spans="1:11" x14ac:dyDescent="0.3">
      <c r="D20" s="7"/>
      <c r="E20" s="8"/>
      <c r="F20" s="8" t="s">
        <v>51</v>
      </c>
      <c r="G20" s="8">
        <f ca="1">AVERAGE(G8:G17)</f>
        <v>155.9</v>
      </c>
      <c r="H20" s="8">
        <f ca="1">AVERAGE(H8:H17)</f>
        <v>35012.300000000003</v>
      </c>
      <c r="I20" s="10" t="s">
        <v>50</v>
      </c>
      <c r="J20" s="8"/>
      <c r="K20" s="9"/>
    </row>
    <row r="21" spans="1:11" x14ac:dyDescent="0.3">
      <c r="D21" s="7"/>
      <c r="E21" s="8"/>
      <c r="F21" s="8"/>
      <c r="G21" s="8"/>
      <c r="H21" s="8">
        <f ca="1">SQRT(H20)</f>
        <v>187.11573958382016</v>
      </c>
      <c r="I21" s="10" t="s">
        <v>52</v>
      </c>
      <c r="J21" s="8"/>
      <c r="K21" s="9"/>
    </row>
    <row r="22" spans="1:11" ht="15" thickBot="1" x14ac:dyDescent="0.35">
      <c r="D22" s="11"/>
      <c r="E22" s="12"/>
      <c r="F22" s="12"/>
      <c r="G22" s="12"/>
      <c r="H22" s="12"/>
      <c r="I22" s="12"/>
      <c r="J22" s="12"/>
      <c r="K22" s="13"/>
    </row>
    <row r="24" spans="1:11" x14ac:dyDescent="0.3">
      <c r="A24" t="s">
        <v>53</v>
      </c>
    </row>
    <row r="26" spans="1:11" x14ac:dyDescent="0.3">
      <c r="A26" t="s">
        <v>54</v>
      </c>
    </row>
    <row r="27" spans="1:11" x14ac:dyDescent="0.3">
      <c r="A27" t="s">
        <v>55</v>
      </c>
    </row>
    <row r="28" spans="1:11" x14ac:dyDescent="0.3">
      <c r="A28" s="3" t="s">
        <v>56</v>
      </c>
    </row>
    <row r="29" spans="1:11" x14ac:dyDescent="0.3">
      <c r="A29" s="3" t="s">
        <v>57</v>
      </c>
    </row>
    <row r="30" spans="1:11" ht="43.2" x14ac:dyDescent="0.3">
      <c r="A30" s="14" t="s">
        <v>75</v>
      </c>
    </row>
    <row r="32" spans="1:11" x14ac:dyDescent="0.3">
      <c r="B32" t="s">
        <v>58</v>
      </c>
      <c r="C32" t="s">
        <v>59</v>
      </c>
    </row>
    <row r="33" spans="1:9" ht="15" thickBot="1" x14ac:dyDescent="0.35"/>
    <row r="34" spans="1:9" ht="28.8" customHeight="1" x14ac:dyDescent="0.3">
      <c r="B34" s="37" t="s">
        <v>74</v>
      </c>
      <c r="C34" s="4" t="s">
        <v>68</v>
      </c>
      <c r="D34" s="5" t="s">
        <v>63</v>
      </c>
      <c r="E34" s="5" t="s">
        <v>64</v>
      </c>
      <c r="F34" s="5" t="s">
        <v>65</v>
      </c>
      <c r="G34" s="5" t="s">
        <v>66</v>
      </c>
      <c r="H34" s="5" t="s">
        <v>67</v>
      </c>
      <c r="I34" s="6" t="s">
        <v>34</v>
      </c>
    </row>
    <row r="35" spans="1:9" x14ac:dyDescent="0.3">
      <c r="B35" s="37"/>
      <c r="C35" s="7" t="s">
        <v>61</v>
      </c>
      <c r="D35" s="8"/>
      <c r="E35" s="8"/>
      <c r="F35" s="8"/>
      <c r="G35" s="8"/>
      <c r="H35" s="8"/>
      <c r="I35" s="9">
        <v>1234</v>
      </c>
    </row>
    <row r="36" spans="1:9" x14ac:dyDescent="0.3">
      <c r="B36" s="37"/>
      <c r="C36" s="7" t="s">
        <v>62</v>
      </c>
      <c r="D36" s="8"/>
      <c r="E36" s="8"/>
      <c r="F36" s="8"/>
      <c r="G36" s="8"/>
      <c r="H36" s="8"/>
      <c r="I36" s="9">
        <v>3221</v>
      </c>
    </row>
    <row r="37" spans="1:9" x14ac:dyDescent="0.3">
      <c r="B37" s="37"/>
      <c r="C37" s="7" t="s">
        <v>60</v>
      </c>
      <c r="D37" s="8"/>
      <c r="E37" s="8"/>
      <c r="F37" s="8"/>
      <c r="G37" s="8"/>
      <c r="H37" s="8"/>
      <c r="I37" s="9" t="s">
        <v>60</v>
      </c>
    </row>
    <row r="38" spans="1:9" ht="15" thickBot="1" x14ac:dyDescent="0.35">
      <c r="B38" s="37"/>
      <c r="C38" s="11"/>
      <c r="D38" s="12"/>
      <c r="E38" s="12"/>
      <c r="F38" s="12"/>
      <c r="G38" s="12"/>
      <c r="H38" s="12"/>
      <c r="I38" s="13"/>
    </row>
    <row r="40" spans="1:9" x14ac:dyDescent="0.3">
      <c r="B40" s="35" t="s">
        <v>73</v>
      </c>
      <c r="C40" t="s">
        <v>69</v>
      </c>
    </row>
    <row r="41" spans="1:9" x14ac:dyDescent="0.3">
      <c r="B41" s="35"/>
      <c r="C41" t="s">
        <v>70</v>
      </c>
    </row>
    <row r="42" spans="1:9" x14ac:dyDescent="0.3">
      <c r="B42" s="35"/>
      <c r="C42" t="s">
        <v>71</v>
      </c>
    </row>
    <row r="43" spans="1:9" x14ac:dyDescent="0.3">
      <c r="B43" s="35"/>
      <c r="C43" t="s">
        <v>72</v>
      </c>
    </row>
    <row r="45" spans="1:9" ht="15" thickBot="1" x14ac:dyDescent="0.35">
      <c r="A45" t="s">
        <v>76</v>
      </c>
      <c r="B45" t="s">
        <v>125</v>
      </c>
      <c r="C45" t="s">
        <v>162</v>
      </c>
      <c r="F45" t="s">
        <v>81</v>
      </c>
      <c r="G45" t="s">
        <v>82</v>
      </c>
    </row>
    <row r="46" spans="1:9" x14ac:dyDescent="0.3">
      <c r="B46" t="s">
        <v>77</v>
      </c>
      <c r="C46" s="4" t="s">
        <v>78</v>
      </c>
      <c r="D46" s="6" t="s">
        <v>109</v>
      </c>
      <c r="F46" t="s">
        <v>83</v>
      </c>
      <c r="G46" t="s">
        <v>108</v>
      </c>
    </row>
    <row r="47" spans="1:9" ht="58.2" thickBot="1" x14ac:dyDescent="0.35">
      <c r="C47" s="11" t="s">
        <v>79</v>
      </c>
      <c r="D47" s="13" t="s">
        <v>80</v>
      </c>
      <c r="F47" s="2" t="s">
        <v>85</v>
      </c>
      <c r="G47" s="2" t="s">
        <v>84</v>
      </c>
    </row>
    <row r="48" spans="1:9" ht="72" x14ac:dyDescent="0.3">
      <c r="F48" s="2" t="s">
        <v>122</v>
      </c>
      <c r="I48" t="s">
        <v>88</v>
      </c>
    </row>
    <row r="49" spans="1:10" x14ac:dyDescent="0.3">
      <c r="A49" t="s">
        <v>110</v>
      </c>
      <c r="B49" t="s">
        <v>111</v>
      </c>
      <c r="F49" t="s">
        <v>86</v>
      </c>
      <c r="G49" t="s">
        <v>87</v>
      </c>
      <c r="I49" t="s">
        <v>89</v>
      </c>
      <c r="J49" t="s">
        <v>90</v>
      </c>
    </row>
    <row r="50" spans="1:10" x14ac:dyDescent="0.3">
      <c r="B50" t="s">
        <v>123</v>
      </c>
      <c r="C50" t="s">
        <v>124</v>
      </c>
      <c r="E50">
        <v>1</v>
      </c>
      <c r="F50" cm="1">
        <f t="array" aca="1" ref="F50:F59" ca="1">_xlfn.RANDARRAY(10,1, 24,60, 1)</f>
        <v>44</v>
      </c>
      <c r="G50" cm="1">
        <f t="array" aca="1" ref="G50:G59" ca="1">_xlfn.RANDARRAY(10, 1, 50000, 100000, 0)</f>
        <v>88213.689328784807</v>
      </c>
      <c r="I50">
        <f ca="1">(F50 - AVERAGE(_xlfn.ANCHORARRAY($F$50)))/ _xlfn.STDEV.P($F$50:$F$60)</f>
        <v>0.63984960396449775</v>
      </c>
      <c r="J50">
        <f ca="1">(G50-AVERAGE(_xlfn.ANCHORARRAY($G$50))) / _xlfn.STDEV.P(_xlfn.ANCHORARRAY($G$50))</f>
        <v>1.433048333810256</v>
      </c>
    </row>
    <row r="51" spans="1:10" ht="158.4" x14ac:dyDescent="0.3">
      <c r="B51" s="14" t="s">
        <v>183</v>
      </c>
      <c r="C51" s="14" t="s">
        <v>185</v>
      </c>
      <c r="E51">
        <v>2</v>
      </c>
      <c r="F51">
        <f ca="1"/>
        <v>41</v>
      </c>
      <c r="G51">
        <f ca="1"/>
        <v>52495.044965093286</v>
      </c>
      <c r="I51">
        <f t="shared" ref="I51:I59" ca="1" si="4">(F51 - AVERAGE(_xlfn.ANCHORARRAY($F$50)))/ _xlfn.STDEV.P($F$50:$F$60)</f>
        <v>0.36165412397993346</v>
      </c>
      <c r="J51">
        <f t="shared" ref="J51:J59" ca="1" si="5">(G51-AVERAGE(_xlfn.ANCHORARRAY($G$50))) / _xlfn.STDEV.P(_xlfn.ANCHORARRAY($G$50))</f>
        <v>-1.1152951873575212</v>
      </c>
    </row>
    <row r="52" spans="1:10" ht="43.2" x14ac:dyDescent="0.3">
      <c r="A52" t="s">
        <v>112</v>
      </c>
      <c r="B52" s="2" t="s">
        <v>115</v>
      </c>
      <c r="C52" t="s">
        <v>113</v>
      </c>
      <c r="E52">
        <v>3</v>
      </c>
      <c r="F52">
        <f ca="1"/>
        <v>55</v>
      </c>
      <c r="G52">
        <f ca="1"/>
        <v>82698.684993910138</v>
      </c>
      <c r="I52">
        <f t="shared" ca="1" si="4"/>
        <v>1.6598996972412337</v>
      </c>
      <c r="J52">
        <f t="shared" ca="1" si="5"/>
        <v>1.0395808375948543</v>
      </c>
    </row>
    <row r="53" spans="1:10" ht="129.6" x14ac:dyDescent="0.3">
      <c r="B53" s="2" t="s">
        <v>116</v>
      </c>
      <c r="C53" t="s">
        <v>114</v>
      </c>
      <c r="D53" s="2" t="s">
        <v>128</v>
      </c>
      <c r="E53">
        <v>4</v>
      </c>
      <c r="F53">
        <f ca="1"/>
        <v>25</v>
      </c>
      <c r="G53">
        <f ca="1"/>
        <v>71261.087880254592</v>
      </c>
      <c r="I53">
        <f t="shared" ca="1" si="4"/>
        <v>-1.1220551026044094</v>
      </c>
      <c r="J53">
        <f t="shared" ca="1" si="5"/>
        <v>0.22356648370353988</v>
      </c>
    </row>
    <row r="54" spans="1:10" ht="187.2" customHeight="1" x14ac:dyDescent="0.3">
      <c r="A54" t="s">
        <v>118</v>
      </c>
      <c r="B54" s="2" t="s">
        <v>126</v>
      </c>
      <c r="E54">
        <v>5</v>
      </c>
      <c r="F54">
        <f ca="1"/>
        <v>43</v>
      </c>
      <c r="G54">
        <f ca="1"/>
        <v>79251.461484208165</v>
      </c>
      <c r="I54">
        <f t="shared" ca="1" si="4"/>
        <v>0.54711777730297628</v>
      </c>
      <c r="J54">
        <f t="shared" ca="1" si="5"/>
        <v>0.79363898136091382</v>
      </c>
    </row>
    <row r="55" spans="1:10" x14ac:dyDescent="0.3">
      <c r="E55">
        <v>6</v>
      </c>
      <c r="F55">
        <f ca="1"/>
        <v>25</v>
      </c>
      <c r="G55">
        <f ca="1"/>
        <v>52833.080411516319</v>
      </c>
      <c r="I55">
        <f t="shared" ca="1" si="4"/>
        <v>-1.1220551026044094</v>
      </c>
      <c r="J55">
        <f t="shared" ca="1" si="5"/>
        <v>-1.0911780783472798</v>
      </c>
    </row>
    <row r="56" spans="1:10" ht="43.2" x14ac:dyDescent="0.3">
      <c r="A56" t="s">
        <v>119</v>
      </c>
      <c r="B56" s="2" t="s">
        <v>127</v>
      </c>
      <c r="E56">
        <v>7</v>
      </c>
      <c r="F56">
        <f ca="1"/>
        <v>51</v>
      </c>
      <c r="G56">
        <f ca="1"/>
        <v>54106.183840382029</v>
      </c>
      <c r="I56">
        <f t="shared" ca="1" si="4"/>
        <v>1.2889723905951478</v>
      </c>
      <c r="J56">
        <f t="shared" ca="1" si="5"/>
        <v>-1.000348626879511</v>
      </c>
    </row>
    <row r="57" spans="1:10" x14ac:dyDescent="0.3">
      <c r="A57" t="s">
        <v>120</v>
      </c>
      <c r="E57">
        <v>8</v>
      </c>
      <c r="F57">
        <f ca="1"/>
        <v>35</v>
      </c>
      <c r="G57">
        <f ca="1"/>
        <v>85676.474101943968</v>
      </c>
      <c r="I57">
        <f t="shared" ca="1" si="4"/>
        <v>-0.19473683598919514</v>
      </c>
      <c r="J57">
        <f t="shared" ca="1" si="5"/>
        <v>1.2520309379848826</v>
      </c>
    </row>
    <row r="58" spans="1:10" x14ac:dyDescent="0.3">
      <c r="E58">
        <v>9</v>
      </c>
      <c r="F58">
        <f ca="1"/>
        <v>28</v>
      </c>
      <c r="G58">
        <f ca="1"/>
        <v>58055.383462334779</v>
      </c>
      <c r="I58">
        <f t="shared" ca="1" si="4"/>
        <v>-0.84385962261984515</v>
      </c>
      <c r="J58">
        <f t="shared" ca="1" si="5"/>
        <v>-0.7185933293399539</v>
      </c>
    </row>
    <row r="59" spans="1:10" x14ac:dyDescent="0.3">
      <c r="E59">
        <v>10</v>
      </c>
      <c r="F59">
        <f ca="1"/>
        <v>24</v>
      </c>
      <c r="G59">
        <f ca="1"/>
        <v>56683.778660710668</v>
      </c>
      <c r="I59">
        <f t="shared" ca="1" si="4"/>
        <v>-1.214786929265931</v>
      </c>
      <c r="J59">
        <f t="shared" ca="1" si="5"/>
        <v>-0.81645035253018605</v>
      </c>
    </row>
    <row r="61" spans="1:10" x14ac:dyDescent="0.3">
      <c r="E61" t="s">
        <v>91</v>
      </c>
      <c r="F61">
        <f ca="1">AVERAGE(_xlfn.ANCHORARRAY(F50))</f>
        <v>37.1</v>
      </c>
      <c r="G61">
        <f ca="1">AVERAGE(_xlfn.ANCHORARRAY(G50))</f>
        <v>68127.486912913882</v>
      </c>
      <c r="I61">
        <f ca="1">AVERAGE(I50:I59)</f>
        <v>0</v>
      </c>
      <c r="J61">
        <f ca="1">AVERAGE(J50:J59)</f>
        <v>-5.4400928206632674E-16</v>
      </c>
    </row>
    <row r="62" spans="1:10" x14ac:dyDescent="0.3">
      <c r="E62" t="s">
        <v>92</v>
      </c>
      <c r="F62">
        <f ca="1">_xlfn.STDEV.P(_xlfn.ANCHORARRAY(F50))</f>
        <v>10.783784122468328</v>
      </c>
      <c r="G62">
        <f ca="1">_xlfn.STDEV.P(_xlfn.ANCHORARRAY(G50))</f>
        <v>14016.416572960097</v>
      </c>
      <c r="I62">
        <f ca="1">_xlfn.STDEV.P(I50:I59)</f>
        <v>1</v>
      </c>
      <c r="J62">
        <f ca="1">_xlfn.STDEV.P(J50:J59)</f>
        <v>1.0000000000000004</v>
      </c>
    </row>
    <row r="64" spans="1:10" ht="29.4" thickBot="1" x14ac:dyDescent="0.35">
      <c r="I64" t="s">
        <v>93</v>
      </c>
      <c r="J64" s="2" t="s">
        <v>94</v>
      </c>
    </row>
    <row r="65" spans="5:15" x14ac:dyDescent="0.3">
      <c r="E65" t="s">
        <v>95</v>
      </c>
      <c r="J65" s="4"/>
      <c r="K65" s="5" t="s">
        <v>104</v>
      </c>
      <c r="L65" s="19" t="s">
        <v>101</v>
      </c>
      <c r="M65" s="19" t="s">
        <v>102</v>
      </c>
      <c r="N65" s="16" t="s">
        <v>103</v>
      </c>
      <c r="O65" s="6"/>
    </row>
    <row r="66" spans="5:15" ht="72" x14ac:dyDescent="0.3">
      <c r="E66" s="2" t="s">
        <v>121</v>
      </c>
      <c r="F66" t="s">
        <v>97</v>
      </c>
      <c r="G66" s="2" t="s">
        <v>100</v>
      </c>
      <c r="J66" s="7"/>
      <c r="K66" s="8" t="s">
        <v>105</v>
      </c>
      <c r="L66" s="20">
        <v>1</v>
      </c>
      <c r="M66" s="20">
        <v>0</v>
      </c>
      <c r="N66" s="17">
        <v>0</v>
      </c>
      <c r="O66" s="9"/>
    </row>
    <row r="67" spans="5:15" ht="100.8" x14ac:dyDescent="0.3">
      <c r="E67" t="s">
        <v>99</v>
      </c>
      <c r="F67" t="s">
        <v>96</v>
      </c>
      <c r="G67" s="2" t="s">
        <v>98</v>
      </c>
      <c r="J67" s="7"/>
      <c r="K67" s="8" t="s">
        <v>106</v>
      </c>
      <c r="L67" s="20">
        <v>0</v>
      </c>
      <c r="M67" s="20">
        <v>1</v>
      </c>
      <c r="N67" s="17">
        <v>0</v>
      </c>
      <c r="O67" s="9"/>
    </row>
    <row r="68" spans="5:15" x14ac:dyDescent="0.3">
      <c r="J68" s="7"/>
      <c r="K68" s="8" t="s">
        <v>107</v>
      </c>
      <c r="L68" s="20">
        <v>0</v>
      </c>
      <c r="M68" s="20">
        <v>0</v>
      </c>
      <c r="N68" s="17">
        <v>1</v>
      </c>
      <c r="O68" s="9"/>
    </row>
    <row r="69" spans="5:15" x14ac:dyDescent="0.3">
      <c r="J69" s="7"/>
      <c r="K69" s="8" t="s">
        <v>105</v>
      </c>
      <c r="L69" s="20">
        <v>1</v>
      </c>
      <c r="M69" s="20">
        <v>0</v>
      </c>
      <c r="N69" s="17">
        <v>0</v>
      </c>
      <c r="O69" s="9"/>
    </row>
    <row r="70" spans="5:15" x14ac:dyDescent="0.3">
      <c r="J70" s="7"/>
      <c r="K70" s="8" t="s">
        <v>106</v>
      </c>
      <c r="L70" s="20">
        <v>0</v>
      </c>
      <c r="M70" s="20">
        <v>1</v>
      </c>
      <c r="N70" s="17">
        <v>0</v>
      </c>
      <c r="O70" s="9"/>
    </row>
    <row r="71" spans="5:15" ht="15" thickBot="1" x14ac:dyDescent="0.35">
      <c r="J71" s="11"/>
      <c r="K71" s="12" t="s">
        <v>107</v>
      </c>
      <c r="L71" s="21"/>
      <c r="M71" s="21">
        <v>0</v>
      </c>
      <c r="N71" s="18">
        <v>1</v>
      </c>
      <c r="O71" s="13"/>
    </row>
  </sheetData>
  <mergeCells count="3">
    <mergeCell ref="B4:C4"/>
    <mergeCell ref="B40:B43"/>
    <mergeCell ref="B34:B38"/>
  </mergeCells>
  <pageMargins left="0.7" right="0.7" top="0.75" bottom="0.75" header="0.3" footer="0.3"/>
  <pageSetup paperSize="236" orientation="portrait" horizontalDpi="203" verticalDpi="20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35EB4-47BD-4615-9156-A91D49F0482E}">
  <dimension ref="A1:AO65"/>
  <sheetViews>
    <sheetView tabSelected="1" topLeftCell="S46" zoomScale="60" zoomScaleNormal="60" workbookViewId="0">
      <selection activeCell="C55" sqref="C55"/>
    </sheetView>
  </sheetViews>
  <sheetFormatPr defaultRowHeight="14.4" x14ac:dyDescent="0.3"/>
  <cols>
    <col min="1" max="1" width="54.33203125" bestFit="1" customWidth="1"/>
    <col min="2" max="2" width="37.77734375" customWidth="1"/>
    <col min="3" max="3" width="36.5546875" bestFit="1" customWidth="1"/>
    <col min="4" max="4" width="10.88671875" bestFit="1" customWidth="1"/>
    <col min="5" max="5" width="12.44140625" bestFit="1" customWidth="1"/>
    <col min="6" max="6" width="14.33203125" bestFit="1" customWidth="1"/>
    <col min="7" max="7" width="13.88671875" bestFit="1" customWidth="1"/>
    <col min="8" max="8" width="13.5546875" customWidth="1"/>
    <col min="9" max="9" width="18.77734375" customWidth="1"/>
    <col min="10" max="10" width="17.6640625" bestFit="1" customWidth="1"/>
    <col min="11" max="11" width="26.44140625" bestFit="1" customWidth="1"/>
    <col min="12" max="12" width="22.77734375" bestFit="1" customWidth="1"/>
    <col min="13" max="13" width="15.21875" bestFit="1" customWidth="1"/>
    <col min="15" max="15" width="17.5546875" bestFit="1" customWidth="1"/>
    <col min="17" max="17" width="18.33203125" customWidth="1"/>
    <col min="18" max="18" width="12.77734375" bestFit="1" customWidth="1"/>
    <col min="20" max="20" width="14.88671875" bestFit="1" customWidth="1"/>
    <col min="22" max="22" width="14.21875" bestFit="1" customWidth="1"/>
    <col min="24" max="24" width="20.6640625" customWidth="1"/>
    <col min="25" max="25" width="12.6640625" bestFit="1" customWidth="1"/>
    <col min="32" max="32" width="16.6640625" customWidth="1"/>
    <col min="33" max="33" width="20.44140625" bestFit="1" customWidth="1"/>
    <col min="34" max="34" width="20.6640625" customWidth="1"/>
    <col min="35" max="35" width="19.21875" customWidth="1"/>
    <col min="38" max="38" width="14.5546875" customWidth="1"/>
  </cols>
  <sheetData>
    <row r="1" spans="1:22" ht="15" thickBot="1" x14ac:dyDescent="0.35">
      <c r="A1" t="s">
        <v>129</v>
      </c>
      <c r="C1" t="s">
        <v>138</v>
      </c>
      <c r="D1" t="s">
        <v>139</v>
      </c>
      <c r="O1" t="s">
        <v>138</v>
      </c>
      <c r="P1" t="s">
        <v>139</v>
      </c>
      <c r="R1" s="27" t="s">
        <v>165</v>
      </c>
      <c r="T1" s="24" t="s">
        <v>166</v>
      </c>
      <c r="U1" s="25"/>
      <c r="V1" s="26" t="s">
        <v>167</v>
      </c>
    </row>
    <row r="2" spans="1:22" x14ac:dyDescent="0.3">
      <c r="A2" t="s">
        <v>137</v>
      </c>
      <c r="B2" t="s">
        <v>36</v>
      </c>
      <c r="R2" s="22" t="s">
        <v>168</v>
      </c>
      <c r="T2" s="22" t="s">
        <v>170</v>
      </c>
      <c r="V2" s="23" t="s">
        <v>173</v>
      </c>
    </row>
    <row r="3" spans="1:22" ht="31.2" customHeight="1" x14ac:dyDescent="0.3">
      <c r="A3" s="2" t="s">
        <v>35</v>
      </c>
      <c r="B3" s="2" t="s">
        <v>37</v>
      </c>
      <c r="G3" t="s">
        <v>144</v>
      </c>
      <c r="I3" s="35" t="s">
        <v>190</v>
      </c>
      <c r="J3" s="35"/>
      <c r="K3" s="35"/>
      <c r="L3" s="35"/>
      <c r="R3" s="23" t="s">
        <v>169</v>
      </c>
      <c r="T3" s="22" t="s">
        <v>171</v>
      </c>
      <c r="V3" s="23" t="s">
        <v>174</v>
      </c>
    </row>
    <row r="4" spans="1:22" x14ac:dyDescent="0.3">
      <c r="A4" s="15" t="s">
        <v>38</v>
      </c>
      <c r="B4" s="38" t="s">
        <v>43</v>
      </c>
      <c r="C4" s="38"/>
      <c r="I4" t="s">
        <v>145</v>
      </c>
      <c r="J4" t="s">
        <v>146</v>
      </c>
      <c r="K4" t="s">
        <v>147</v>
      </c>
      <c r="L4" t="s">
        <v>34</v>
      </c>
      <c r="T4" s="23" t="s">
        <v>172</v>
      </c>
      <c r="V4" s="23" t="s">
        <v>175</v>
      </c>
    </row>
    <row r="5" spans="1:22" x14ac:dyDescent="0.3">
      <c r="A5" t="s">
        <v>140</v>
      </c>
      <c r="H5" s="35" t="s">
        <v>78</v>
      </c>
      <c r="I5" cm="1">
        <f t="array" aca="1" ref="I5:K11" ca="1">_xlfn.RANDARRAY(7,3,0,1,)</f>
        <v>0.58086529684157839</v>
      </c>
      <c r="J5">
        <f ca="1"/>
        <v>0.77510401941173757</v>
      </c>
      <c r="K5">
        <f ca="1"/>
        <v>0.52561775777707642</v>
      </c>
      <c r="L5">
        <v>1</v>
      </c>
    </row>
    <row r="6" spans="1:22" x14ac:dyDescent="0.3">
      <c r="H6" s="35"/>
      <c r="I6">
        <f ca="1"/>
        <v>0.53998206624676404</v>
      </c>
      <c r="J6">
        <f ca="1"/>
        <v>0.90571369013733083</v>
      </c>
      <c r="K6">
        <f ca="1"/>
        <v>3.689845441317674E-3</v>
      </c>
      <c r="L6">
        <v>0</v>
      </c>
      <c r="R6" t="s">
        <v>179</v>
      </c>
      <c r="T6" t="s">
        <v>176</v>
      </c>
    </row>
    <row r="7" spans="1:22" ht="100.8" x14ac:dyDescent="0.3">
      <c r="A7" s="2" t="s">
        <v>141</v>
      </c>
      <c r="B7" s="2" t="s">
        <v>142</v>
      </c>
      <c r="C7" s="2" t="s">
        <v>143</v>
      </c>
      <c r="H7" s="35"/>
      <c r="I7">
        <f ca="1"/>
        <v>0.31263177760886096</v>
      </c>
      <c r="J7">
        <f ca="1"/>
        <v>0.55549014873924984</v>
      </c>
      <c r="K7">
        <f ca="1"/>
        <v>0.77401711647779026</v>
      </c>
      <c r="L7">
        <v>1</v>
      </c>
      <c r="R7" s="2" t="s">
        <v>180</v>
      </c>
      <c r="T7" t="s">
        <v>177</v>
      </c>
      <c r="V7" t="s">
        <v>181</v>
      </c>
    </row>
    <row r="8" spans="1:22" ht="28.8" x14ac:dyDescent="0.3">
      <c r="H8" s="35"/>
      <c r="I8">
        <f ca="1"/>
        <v>0.25576841842442799</v>
      </c>
      <c r="J8">
        <f ca="1"/>
        <v>0.86502914376983142</v>
      </c>
      <c r="K8">
        <f ca="1"/>
        <v>0.82249678346962241</v>
      </c>
      <c r="L8">
        <v>0</v>
      </c>
      <c r="T8" s="2" t="s">
        <v>178</v>
      </c>
      <c r="V8" t="s">
        <v>182</v>
      </c>
    </row>
    <row r="9" spans="1:22" x14ac:dyDescent="0.3">
      <c r="A9" t="s">
        <v>158</v>
      </c>
      <c r="H9" s="35"/>
      <c r="I9">
        <f ca="1"/>
        <v>0.3273494047742509</v>
      </c>
      <c r="J9">
        <f ca="1"/>
        <v>0.16242229319221657</v>
      </c>
      <c r="K9">
        <f ca="1"/>
        <v>0.5677068168979218</v>
      </c>
      <c r="L9">
        <v>0</v>
      </c>
    </row>
    <row r="10" spans="1:22" x14ac:dyDescent="0.3">
      <c r="H10" s="35"/>
      <c r="I10">
        <f ca="1"/>
        <v>0.87088371905393691</v>
      </c>
      <c r="J10">
        <f ca="1"/>
        <v>4.2760379185431852E-2</v>
      </c>
      <c r="K10">
        <f ca="1"/>
        <v>0.79225550962899116</v>
      </c>
      <c r="L10">
        <v>0</v>
      </c>
    </row>
    <row r="11" spans="1:22" x14ac:dyDescent="0.3">
      <c r="A11" t="s">
        <v>150</v>
      </c>
      <c r="H11" s="35"/>
      <c r="I11">
        <f ca="1"/>
        <v>0.86710600653969538</v>
      </c>
      <c r="J11">
        <f ca="1"/>
        <v>0.32074541386629196</v>
      </c>
      <c r="K11">
        <f ca="1"/>
        <v>0.63959814473844934</v>
      </c>
      <c r="L11">
        <v>1</v>
      </c>
    </row>
    <row r="12" spans="1:22" x14ac:dyDescent="0.3">
      <c r="A12" t="s">
        <v>151</v>
      </c>
    </row>
    <row r="13" spans="1:22" x14ac:dyDescent="0.3">
      <c r="A13" t="s">
        <v>152</v>
      </c>
      <c r="H13" t="s">
        <v>148</v>
      </c>
      <c r="I13" t="s">
        <v>149</v>
      </c>
    </row>
    <row r="14" spans="1:22" x14ac:dyDescent="0.3">
      <c r="A14" t="s">
        <v>153</v>
      </c>
    </row>
    <row r="15" spans="1:22" x14ac:dyDescent="0.3">
      <c r="A15" t="s">
        <v>154</v>
      </c>
      <c r="H15" s="39" t="s">
        <v>189</v>
      </c>
      <c r="I15" t="s">
        <v>145</v>
      </c>
      <c r="J15" cm="1">
        <f t="array" aca="1" ref="J15:P17" ca="1">_xlfn.RANDARRAY(3,7,0,1,)</f>
        <v>0.441460751548991</v>
      </c>
      <c r="K15">
        <f ca="1"/>
        <v>0.52223071095443085</v>
      </c>
      <c r="L15">
        <f ca="1"/>
        <v>0.17535021073020229</v>
      </c>
      <c r="M15">
        <f ca="1"/>
        <v>0.77146017233369601</v>
      </c>
      <c r="N15">
        <f ca="1"/>
        <v>0.84485798485361729</v>
      </c>
      <c r="O15">
        <f ca="1"/>
        <v>0.11542604381771926</v>
      </c>
      <c r="P15">
        <f ca="1"/>
        <v>0.28382907697917248</v>
      </c>
    </row>
    <row r="16" spans="1:22" x14ac:dyDescent="0.3">
      <c r="A16" t="s">
        <v>155</v>
      </c>
      <c r="H16" s="39"/>
      <c r="I16" t="s">
        <v>146</v>
      </c>
      <c r="J16">
        <f ca="1"/>
        <v>0.21595023557656723</v>
      </c>
      <c r="K16">
        <f ca="1"/>
        <v>0.99271979149042999</v>
      </c>
      <c r="L16">
        <f ca="1"/>
        <v>0.73761350424194339</v>
      </c>
      <c r="M16">
        <f ca="1"/>
        <v>0.6553067472094205</v>
      </c>
      <c r="N16">
        <f ca="1"/>
        <v>0.96479456681694886</v>
      </c>
      <c r="O16">
        <f ca="1"/>
        <v>0.51166220663187234</v>
      </c>
      <c r="P16">
        <f ca="1"/>
        <v>0.87801259210273019</v>
      </c>
    </row>
    <row r="17" spans="1:16" x14ac:dyDescent="0.3">
      <c r="A17" t="s">
        <v>156</v>
      </c>
      <c r="B17" t="s">
        <v>157</v>
      </c>
      <c r="H17" s="39"/>
      <c r="I17" t="s">
        <v>147</v>
      </c>
      <c r="J17">
        <f ca="1"/>
        <v>0.3342150740805494</v>
      </c>
      <c r="K17">
        <f ca="1"/>
        <v>0.12668876825032838</v>
      </c>
      <c r="L17">
        <f ca="1"/>
        <v>0.45478589333638175</v>
      </c>
      <c r="M17">
        <f ca="1"/>
        <v>0.91614356964792365</v>
      </c>
      <c r="N17">
        <f ca="1"/>
        <v>3.2786698688634708E-2</v>
      </c>
      <c r="O17">
        <f ca="1"/>
        <v>0.25805365337614683</v>
      </c>
      <c r="P17">
        <f ca="1"/>
        <v>0.87547497182849399</v>
      </c>
    </row>
    <row r="18" spans="1:16" x14ac:dyDescent="0.3">
      <c r="H18" s="39"/>
      <c r="I18" t="s">
        <v>34</v>
      </c>
      <c r="J18">
        <v>1</v>
      </c>
      <c r="K18">
        <v>0</v>
      </c>
      <c r="L18">
        <v>1</v>
      </c>
      <c r="M18">
        <v>0</v>
      </c>
      <c r="N18">
        <v>0</v>
      </c>
      <c r="O18">
        <v>0</v>
      </c>
      <c r="P18">
        <v>1</v>
      </c>
    </row>
    <row r="20" spans="1:16" x14ac:dyDescent="0.3">
      <c r="A20" t="s">
        <v>159</v>
      </c>
    </row>
    <row r="22" spans="1:16" x14ac:dyDescent="0.3">
      <c r="A22" t="s">
        <v>54</v>
      </c>
    </row>
    <row r="23" spans="1:16" x14ac:dyDescent="0.3">
      <c r="A23" t="s">
        <v>55</v>
      </c>
    </row>
    <row r="24" spans="1:16" x14ac:dyDescent="0.3">
      <c r="A24" s="3" t="s">
        <v>56</v>
      </c>
    </row>
    <row r="25" spans="1:16" x14ac:dyDescent="0.3">
      <c r="A25" s="3" t="s">
        <v>57</v>
      </c>
    </row>
    <row r="26" spans="1:16" ht="43.2" x14ac:dyDescent="0.3">
      <c r="A26" s="14" t="s">
        <v>75</v>
      </c>
      <c r="B26" t="s">
        <v>161</v>
      </c>
      <c r="C26" t="s">
        <v>59</v>
      </c>
    </row>
    <row r="27" spans="1:16" ht="15" thickBot="1" x14ac:dyDescent="0.35"/>
    <row r="28" spans="1:16" x14ac:dyDescent="0.3">
      <c r="B28" s="37" t="s">
        <v>74</v>
      </c>
      <c r="C28" s="4" t="s">
        <v>68</v>
      </c>
      <c r="D28" s="5" t="s">
        <v>63</v>
      </c>
      <c r="E28" s="5" t="s">
        <v>64</v>
      </c>
      <c r="F28" s="5" t="s">
        <v>65</v>
      </c>
      <c r="G28" s="5" t="s">
        <v>66</v>
      </c>
      <c r="H28" s="5" t="s">
        <v>67</v>
      </c>
      <c r="I28" s="6" t="s">
        <v>34</v>
      </c>
    </row>
    <row r="29" spans="1:16" x14ac:dyDescent="0.3">
      <c r="B29" s="37"/>
      <c r="C29" s="7" t="s">
        <v>61</v>
      </c>
      <c r="D29" s="8"/>
      <c r="E29" s="8"/>
      <c r="F29" s="8"/>
      <c r="G29" s="8"/>
      <c r="H29" s="8"/>
      <c r="I29" s="9">
        <v>0</v>
      </c>
    </row>
    <row r="30" spans="1:16" x14ac:dyDescent="0.3">
      <c r="B30" s="37"/>
      <c r="C30" s="7" t="s">
        <v>62</v>
      </c>
      <c r="D30" s="8"/>
      <c r="E30" s="8"/>
      <c r="F30" s="8"/>
      <c r="G30" s="8"/>
      <c r="H30" s="8"/>
      <c r="I30" s="9">
        <v>1</v>
      </c>
    </row>
    <row r="31" spans="1:16" x14ac:dyDescent="0.3">
      <c r="B31" s="37"/>
      <c r="C31" s="7" t="s">
        <v>60</v>
      </c>
      <c r="D31" s="8"/>
      <c r="E31" s="8"/>
      <c r="F31" s="8"/>
      <c r="G31" s="8"/>
      <c r="H31" s="8"/>
      <c r="I31" s="9" t="s">
        <v>60</v>
      </c>
    </row>
    <row r="32" spans="1:16" ht="15" thickBot="1" x14ac:dyDescent="0.35">
      <c r="B32" s="37"/>
      <c r="C32" s="11"/>
      <c r="D32" s="12"/>
      <c r="E32" s="12"/>
      <c r="F32" s="12"/>
      <c r="G32" s="12"/>
      <c r="H32" s="12"/>
      <c r="I32" s="13"/>
    </row>
    <row r="34" spans="1:41" x14ac:dyDescent="0.3">
      <c r="B34" s="35" t="s">
        <v>73</v>
      </c>
      <c r="C34" t="s">
        <v>69</v>
      </c>
    </row>
    <row r="35" spans="1:41" x14ac:dyDescent="0.3">
      <c r="B35" s="35"/>
      <c r="C35" t="s">
        <v>70</v>
      </c>
    </row>
    <row r="36" spans="1:41" x14ac:dyDescent="0.3">
      <c r="B36" s="35"/>
      <c r="C36" t="s">
        <v>71</v>
      </c>
    </row>
    <row r="37" spans="1:41" x14ac:dyDescent="0.3">
      <c r="B37" s="35"/>
      <c r="C37" t="s">
        <v>72</v>
      </c>
    </row>
    <row r="41" spans="1:41" x14ac:dyDescent="0.3">
      <c r="A41" t="s">
        <v>76</v>
      </c>
      <c r="B41" t="s">
        <v>125</v>
      </c>
      <c r="C41" t="s">
        <v>163</v>
      </c>
      <c r="I41" t="s">
        <v>236</v>
      </c>
    </row>
    <row r="42" spans="1:41" ht="57.6" x14ac:dyDescent="0.3">
      <c r="B42" t="s">
        <v>77</v>
      </c>
      <c r="C42" s="28" t="s">
        <v>164</v>
      </c>
      <c r="E42" t="s">
        <v>78</v>
      </c>
      <c r="F42">
        <v>70</v>
      </c>
      <c r="H42" t="s">
        <v>213</v>
      </c>
      <c r="I42" s="23" t="s">
        <v>237</v>
      </c>
      <c r="J42" s="2" t="s">
        <v>239</v>
      </c>
      <c r="K42" t="s">
        <v>81</v>
      </c>
      <c r="L42" t="s">
        <v>82</v>
      </c>
    </row>
    <row r="43" spans="1:41" ht="86.4" x14ac:dyDescent="0.3">
      <c r="C43" s="22" t="s">
        <v>234</v>
      </c>
      <c r="E43" t="s">
        <v>79</v>
      </c>
      <c r="F43">
        <v>30</v>
      </c>
      <c r="G43" s="2" t="s">
        <v>235</v>
      </c>
      <c r="H43" t="s">
        <v>212</v>
      </c>
      <c r="I43" s="23" t="s">
        <v>237</v>
      </c>
      <c r="J43" s="2" t="s">
        <v>238</v>
      </c>
      <c r="K43" t="s">
        <v>83</v>
      </c>
      <c r="L43" t="s">
        <v>108</v>
      </c>
    </row>
    <row r="44" spans="1:41" ht="83.4" customHeight="1" x14ac:dyDescent="0.3">
      <c r="K44" s="2" t="s">
        <v>85</v>
      </c>
      <c r="L44" s="2" t="s">
        <v>84</v>
      </c>
    </row>
    <row r="45" spans="1:41" ht="127.2" customHeight="1" x14ac:dyDescent="0.3">
      <c r="A45" t="s">
        <v>110</v>
      </c>
      <c r="B45" t="s">
        <v>111</v>
      </c>
      <c r="K45" s="2" t="s">
        <v>122</v>
      </c>
    </row>
    <row r="46" spans="1:41" x14ac:dyDescent="0.3">
      <c r="B46" t="s">
        <v>123</v>
      </c>
      <c r="C46" t="s">
        <v>124</v>
      </c>
    </row>
    <row r="47" spans="1:41" ht="202.2" thickBot="1" x14ac:dyDescent="0.35">
      <c r="B47" s="14" t="s">
        <v>186</v>
      </c>
      <c r="C47" s="2" t="s">
        <v>184</v>
      </c>
    </row>
    <row r="48" spans="1:41" ht="57.6" x14ac:dyDescent="0.3">
      <c r="A48" t="s">
        <v>112</v>
      </c>
      <c r="B48" s="2" t="s">
        <v>115</v>
      </c>
      <c r="C48" s="2" t="s">
        <v>187</v>
      </c>
      <c r="H48" t="s">
        <v>191</v>
      </c>
      <c r="J48" s="4" t="s">
        <v>192</v>
      </c>
      <c r="K48" s="5">
        <v>1</v>
      </c>
      <c r="L48" s="5">
        <v>0</v>
      </c>
      <c r="M48" s="6" t="s">
        <v>194</v>
      </c>
      <c r="P48" t="s">
        <v>204</v>
      </c>
      <c r="Q48" s="32" t="s">
        <v>227</v>
      </c>
      <c r="R48" s="5">
        <v>1</v>
      </c>
      <c r="S48" s="5">
        <v>0</v>
      </c>
      <c r="T48" s="6" t="s">
        <v>194</v>
      </c>
      <c r="W48" t="s">
        <v>204</v>
      </c>
      <c r="X48" s="4" t="s">
        <v>192</v>
      </c>
      <c r="Y48" s="5">
        <v>1</v>
      </c>
      <c r="Z48" s="5">
        <v>0</v>
      </c>
      <c r="AA48" s="6" t="s">
        <v>194</v>
      </c>
      <c r="AF48" s="32" t="s">
        <v>227</v>
      </c>
      <c r="AG48" s="5">
        <v>1</v>
      </c>
      <c r="AH48" s="5">
        <v>0</v>
      </c>
      <c r="AI48" s="6" t="s">
        <v>194</v>
      </c>
      <c r="AL48" s="32" t="s">
        <v>231</v>
      </c>
      <c r="AM48" s="5">
        <v>1</v>
      </c>
      <c r="AN48" s="5">
        <v>0</v>
      </c>
      <c r="AO48" s="6" t="s">
        <v>194</v>
      </c>
    </row>
    <row r="49" spans="1:41" ht="129.6" x14ac:dyDescent="0.3">
      <c r="B49" s="2" t="s">
        <v>116</v>
      </c>
      <c r="C49" s="2" t="s">
        <v>188</v>
      </c>
      <c r="J49" s="7">
        <v>1</v>
      </c>
      <c r="K49" s="29" t="s">
        <v>195</v>
      </c>
      <c r="L49" s="29" t="s">
        <v>197</v>
      </c>
      <c r="M49" s="9" t="s">
        <v>199</v>
      </c>
      <c r="P49" s="22" t="s">
        <v>168</v>
      </c>
      <c r="Q49" s="7">
        <v>1</v>
      </c>
      <c r="R49" s="29">
        <v>350</v>
      </c>
      <c r="S49" s="29">
        <v>150</v>
      </c>
      <c r="T49" s="9">
        <v>500</v>
      </c>
      <c r="W49" s="22" t="s">
        <v>172</v>
      </c>
      <c r="X49" s="7">
        <v>1</v>
      </c>
      <c r="Y49" s="29">
        <v>0</v>
      </c>
      <c r="Z49" s="29">
        <v>100</v>
      </c>
      <c r="AA49" s="9">
        <v>100</v>
      </c>
      <c r="AF49" s="7">
        <v>1</v>
      </c>
      <c r="AG49" s="29">
        <v>200</v>
      </c>
      <c r="AH49" s="29">
        <v>100</v>
      </c>
      <c r="AI49" s="9">
        <v>300</v>
      </c>
      <c r="AL49" s="7">
        <v>1</v>
      </c>
      <c r="AM49" s="29">
        <v>210</v>
      </c>
      <c r="AN49" s="29">
        <v>90</v>
      </c>
      <c r="AO49" s="9">
        <v>300</v>
      </c>
    </row>
    <row r="50" spans="1:41" ht="158.4" x14ac:dyDescent="0.3">
      <c r="A50" t="s">
        <v>118</v>
      </c>
      <c r="B50" s="2" t="s">
        <v>160</v>
      </c>
      <c r="J50" s="7">
        <v>0</v>
      </c>
      <c r="K50" s="29" t="s">
        <v>198</v>
      </c>
      <c r="L50" s="29" t="s">
        <v>196</v>
      </c>
      <c r="M50" s="9" t="s">
        <v>200</v>
      </c>
      <c r="Q50" s="7">
        <v>0</v>
      </c>
      <c r="R50" s="29">
        <v>100</v>
      </c>
      <c r="S50" s="29">
        <v>400</v>
      </c>
      <c r="T50" s="9">
        <v>500</v>
      </c>
      <c r="X50" s="7">
        <v>0</v>
      </c>
      <c r="Y50" s="29">
        <v>0</v>
      </c>
      <c r="Z50" s="29">
        <v>900</v>
      </c>
      <c r="AA50" s="9">
        <v>900</v>
      </c>
      <c r="AF50" s="7">
        <v>0</v>
      </c>
      <c r="AG50" s="29">
        <v>50</v>
      </c>
      <c r="AH50" s="29">
        <v>650</v>
      </c>
      <c r="AI50" s="9">
        <v>700</v>
      </c>
      <c r="AL50" s="7">
        <v>0</v>
      </c>
      <c r="AM50" s="29">
        <v>70</v>
      </c>
      <c r="AN50" s="29">
        <v>630</v>
      </c>
      <c r="AO50" s="9">
        <v>700</v>
      </c>
    </row>
    <row r="51" spans="1:41" ht="15" thickBot="1" x14ac:dyDescent="0.35">
      <c r="J51" s="11" t="s">
        <v>193</v>
      </c>
      <c r="K51" s="12" t="s">
        <v>201</v>
      </c>
      <c r="L51" s="12" t="s">
        <v>202</v>
      </c>
      <c r="M51" s="13" t="s">
        <v>203</v>
      </c>
      <c r="Q51" s="11" t="s">
        <v>193</v>
      </c>
      <c r="R51" s="12">
        <v>450</v>
      </c>
      <c r="S51" s="12">
        <v>550</v>
      </c>
      <c r="T51" s="13">
        <v>1000</v>
      </c>
      <c r="X51" s="11" t="s">
        <v>193</v>
      </c>
      <c r="Y51" s="12">
        <v>0</v>
      </c>
      <c r="Z51" s="12">
        <v>1000</v>
      </c>
      <c r="AA51" s="13">
        <v>1000</v>
      </c>
      <c r="AF51" s="11" t="s">
        <v>193</v>
      </c>
      <c r="AG51" s="12">
        <v>250</v>
      </c>
      <c r="AH51" s="12">
        <v>750</v>
      </c>
      <c r="AI51" s="13">
        <v>1000</v>
      </c>
      <c r="AL51" s="11" t="s">
        <v>193</v>
      </c>
      <c r="AM51" s="12">
        <v>280</v>
      </c>
      <c r="AN51" s="12">
        <v>720</v>
      </c>
      <c r="AO51" s="13">
        <v>1000</v>
      </c>
    </row>
    <row r="52" spans="1:41" ht="43.2" x14ac:dyDescent="0.3">
      <c r="A52" t="s">
        <v>119</v>
      </c>
      <c r="B52" s="2" t="s">
        <v>127</v>
      </c>
      <c r="C52" s="2" t="s">
        <v>240</v>
      </c>
    </row>
    <row r="53" spans="1:41" x14ac:dyDescent="0.3">
      <c r="A53" t="s">
        <v>120</v>
      </c>
      <c r="J53" t="s">
        <v>205</v>
      </c>
      <c r="K53" t="s">
        <v>206</v>
      </c>
      <c r="R53" t="s">
        <v>205</v>
      </c>
      <c r="S53" s="30">
        <f>(R49+S50)/T51</f>
        <v>0.75</v>
      </c>
      <c r="Y53" t="s">
        <v>205</v>
      </c>
      <c r="Z53" s="31">
        <v>0.9</v>
      </c>
      <c r="AH53" t="s">
        <v>205</v>
      </c>
      <c r="AI53" s="30">
        <f>(AG49+AH50)/AI51</f>
        <v>0.85</v>
      </c>
      <c r="AM53" t="s">
        <v>205</v>
      </c>
      <c r="AN53" s="30">
        <f>(AM49+AN50)/AO51</f>
        <v>0.84</v>
      </c>
    </row>
    <row r="54" spans="1:41" x14ac:dyDescent="0.3">
      <c r="I54" t="s">
        <v>228</v>
      </c>
      <c r="J54" t="s">
        <v>222</v>
      </c>
      <c r="K54" t="s">
        <v>207</v>
      </c>
      <c r="R54" t="s">
        <v>222</v>
      </c>
      <c r="S54" s="30">
        <f>R49/(R49+S49)</f>
        <v>0.7</v>
      </c>
      <c r="Y54" t="s">
        <v>222</v>
      </c>
      <c r="Z54">
        <v>0</v>
      </c>
      <c r="AG54" t="s">
        <v>228</v>
      </c>
      <c r="AH54" t="s">
        <v>222</v>
      </c>
      <c r="AI54" s="30">
        <f>AG49/(AG49+AH49)</f>
        <v>0.66666666666666663</v>
      </c>
      <c r="AL54" t="s">
        <v>228</v>
      </c>
      <c r="AM54" t="s">
        <v>222</v>
      </c>
      <c r="AN54" s="30">
        <f>AM49/(AO49)</f>
        <v>0.7</v>
      </c>
    </row>
    <row r="55" spans="1:41" x14ac:dyDescent="0.3">
      <c r="J55" t="s">
        <v>208</v>
      </c>
      <c r="K55" t="s">
        <v>209</v>
      </c>
      <c r="R55" t="s">
        <v>208</v>
      </c>
      <c r="S55" s="30">
        <f>R50 / (R50+S50)</f>
        <v>0.2</v>
      </c>
      <c r="Y55" t="s">
        <v>208</v>
      </c>
      <c r="Z55">
        <v>0</v>
      </c>
      <c r="AH55" t="s">
        <v>208</v>
      </c>
      <c r="AI55" s="30">
        <f>AG50/(AG50+AH50)</f>
        <v>7.1428571428571425E-2</v>
      </c>
      <c r="AM55" t="s">
        <v>208</v>
      </c>
      <c r="AN55" s="30">
        <f>AM50/AO50</f>
        <v>0.1</v>
      </c>
    </row>
    <row r="56" spans="1:41" x14ac:dyDescent="0.3">
      <c r="I56" t="s">
        <v>229</v>
      </c>
      <c r="J56" t="s">
        <v>210</v>
      </c>
      <c r="R56" t="s">
        <v>210</v>
      </c>
      <c r="S56" s="30">
        <f>1-S55</f>
        <v>0.8</v>
      </c>
      <c r="AG56" t="s">
        <v>229</v>
      </c>
      <c r="AH56" t="s">
        <v>210</v>
      </c>
      <c r="AI56" s="30">
        <f>1-AI55</f>
        <v>0.9285714285714286</v>
      </c>
      <c r="AL56" t="s">
        <v>229</v>
      </c>
      <c r="AM56" t="s">
        <v>210</v>
      </c>
      <c r="AN56" s="30">
        <f>1-AN55</f>
        <v>0.9</v>
      </c>
    </row>
    <row r="57" spans="1:41" x14ac:dyDescent="0.3">
      <c r="J57" t="s">
        <v>211</v>
      </c>
      <c r="K57" t="s">
        <v>212</v>
      </c>
      <c r="L57" t="s">
        <v>214</v>
      </c>
    </row>
    <row r="58" spans="1:41" ht="72" x14ac:dyDescent="0.3">
      <c r="K58" t="s">
        <v>213</v>
      </c>
      <c r="L58" t="s">
        <v>215</v>
      </c>
      <c r="X58" t="s">
        <v>224</v>
      </c>
      <c r="Y58" t="s">
        <v>225</v>
      </c>
      <c r="Z58">
        <v>0</v>
      </c>
      <c r="AF58" s="2" t="s">
        <v>232</v>
      </c>
      <c r="AG58" t="s">
        <v>230</v>
      </c>
      <c r="AI58" s="33">
        <f>AI54+AI56</f>
        <v>1.5952380952380953</v>
      </c>
      <c r="AL58" t="s">
        <v>230</v>
      </c>
      <c r="AN58" s="34">
        <f>AN54+AN56</f>
        <v>1.6</v>
      </c>
    </row>
    <row r="60" spans="1:41" ht="57.6" x14ac:dyDescent="0.3">
      <c r="J60" t="s">
        <v>216</v>
      </c>
      <c r="K60" t="s">
        <v>212</v>
      </c>
      <c r="L60" t="s">
        <v>217</v>
      </c>
      <c r="X60" t="s">
        <v>223</v>
      </c>
      <c r="Y60" t="s">
        <v>207</v>
      </c>
      <c r="Z60">
        <v>0</v>
      </c>
      <c r="AF60" s="2" t="s">
        <v>233</v>
      </c>
    </row>
    <row r="61" spans="1:41" x14ac:dyDescent="0.3">
      <c r="K61" t="s">
        <v>213</v>
      </c>
      <c r="L61" t="s">
        <v>218</v>
      </c>
    </row>
    <row r="62" spans="1:41" x14ac:dyDescent="0.3">
      <c r="X62" t="s">
        <v>219</v>
      </c>
      <c r="Y62" t="s">
        <v>226</v>
      </c>
    </row>
    <row r="64" spans="1:41" x14ac:dyDescent="0.3">
      <c r="J64" t="s">
        <v>219</v>
      </c>
      <c r="K64" t="s">
        <v>220</v>
      </c>
    </row>
    <row r="65" spans="10:10" ht="28.8" x14ac:dyDescent="0.3">
      <c r="J65" s="2" t="s">
        <v>221</v>
      </c>
    </row>
  </sheetData>
  <mergeCells count="6">
    <mergeCell ref="I3:L3"/>
    <mergeCell ref="B4:C4"/>
    <mergeCell ref="H5:H11"/>
    <mergeCell ref="B28:B32"/>
    <mergeCell ref="B34:B37"/>
    <mergeCell ref="H15:H18"/>
  </mergeCells>
  <phoneticPr fontId="2" type="noConversion"/>
  <pageMargins left="0.7" right="0.7" top="0.75" bottom="0.75" header="0.3" footer="0.3"/>
  <pageSetup paperSize="23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Regression</vt:lpstr>
      <vt:lpstr>Classification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gupta</dc:creator>
  <cp:lastModifiedBy>abhishek gupta</cp:lastModifiedBy>
  <dcterms:created xsi:type="dcterms:W3CDTF">2026-01-04T14:31:12Z</dcterms:created>
  <dcterms:modified xsi:type="dcterms:W3CDTF">2026-01-12T10:55:47Z</dcterms:modified>
</cp:coreProperties>
</file>
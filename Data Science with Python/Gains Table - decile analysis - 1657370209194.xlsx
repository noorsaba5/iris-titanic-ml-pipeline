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ownloads\Python April BLR Class 21 Python for Data Science (Self-paced) v5\Python April BLR _ Class 21 Python for Data Science April 2022 - 1659608811847\"/>
    </mc:Choice>
  </mc:AlternateContent>
  <xr:revisionPtr revIDLastSave="0" documentId="13_ncr:1_{5CB91523-8A09-4133-9981-9ABA27C12393}" xr6:coauthVersionLast="47" xr6:coauthVersionMax="47" xr10:uidLastSave="{00000000-0000-0000-0000-000000000000}"/>
  <bookViews>
    <workbookView xWindow="-108" yWindow="-108" windowWidth="23256" windowHeight="12456" activeTab="1" xr2:uid="{555A0668-B5A7-4E71-B75A-A492C8AFB770}"/>
  </bookViews>
  <sheets>
    <sheet name="Gains Table - Dev &amp; Val Sample" sheetId="1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4" i="4" l="1"/>
  <c r="K24" i="4"/>
  <c r="I24" i="4"/>
  <c r="G24" i="4"/>
  <c r="B24" i="4"/>
  <c r="M21" i="4"/>
  <c r="K21" i="4"/>
  <c r="I21" i="4"/>
  <c r="G21" i="4"/>
  <c r="E20" i="1"/>
  <c r="E21" i="1"/>
  <c r="E22" i="1"/>
  <c r="E23" i="1"/>
  <c r="E24" i="1"/>
  <c r="E25" i="1"/>
  <c r="E26" i="1"/>
  <c r="E27" i="1"/>
  <c r="E28" i="1"/>
  <c r="E19" i="1"/>
  <c r="E29" i="1" s="1"/>
  <c r="J26" i="1" s="1"/>
  <c r="E5" i="1"/>
  <c r="E6" i="1"/>
  <c r="E7" i="1"/>
  <c r="E8" i="1"/>
  <c r="E9" i="1"/>
  <c r="E10" i="1"/>
  <c r="E11" i="1"/>
  <c r="E12" i="1"/>
  <c r="E13" i="1"/>
  <c r="E4" i="1"/>
  <c r="M9" i="4"/>
  <c r="O9" i="4" s="1"/>
  <c r="G9" i="4"/>
  <c r="E9" i="4"/>
  <c r="M5" i="4"/>
  <c r="O5" i="4" s="1"/>
  <c r="G5" i="4"/>
  <c r="E5" i="4"/>
  <c r="F29" i="1"/>
  <c r="D29" i="1"/>
  <c r="H28" i="1" s="1"/>
  <c r="G28" i="1"/>
  <c r="G27" i="1"/>
  <c r="G26" i="1"/>
  <c r="G25" i="1"/>
  <c r="G24" i="1"/>
  <c r="G23" i="1"/>
  <c r="G22" i="1"/>
  <c r="G21" i="1"/>
  <c r="G20" i="1"/>
  <c r="G19" i="1"/>
  <c r="F14" i="1"/>
  <c r="D14" i="1"/>
  <c r="H10" i="1" s="1"/>
  <c r="G13" i="1"/>
  <c r="G12" i="1"/>
  <c r="G11" i="1"/>
  <c r="G10" i="1"/>
  <c r="G9" i="1"/>
  <c r="G8" i="1"/>
  <c r="G7" i="1"/>
  <c r="G6" i="1"/>
  <c r="G5" i="1"/>
  <c r="G4" i="1"/>
  <c r="E14" i="1" l="1"/>
  <c r="J12" i="1" s="1"/>
  <c r="H26" i="1"/>
  <c r="H24" i="1"/>
  <c r="H22" i="1"/>
  <c r="J21" i="1"/>
  <c r="H23" i="1"/>
  <c r="H25" i="1"/>
  <c r="H27" i="1"/>
  <c r="H19" i="1"/>
  <c r="I19" i="1" s="1"/>
  <c r="R19" i="1" s="1"/>
  <c r="H21" i="1"/>
  <c r="H20" i="1"/>
  <c r="J27" i="1"/>
  <c r="J19" i="1"/>
  <c r="K19" i="1" s="1"/>
  <c r="H7" i="1"/>
  <c r="J11" i="1"/>
  <c r="J5" i="1"/>
  <c r="J4" i="1"/>
  <c r="K4" i="1" s="1"/>
  <c r="H9" i="1"/>
  <c r="J7" i="1"/>
  <c r="J6" i="1"/>
  <c r="J10" i="1"/>
  <c r="H11" i="1"/>
  <c r="H5" i="1"/>
  <c r="J13" i="1"/>
  <c r="J9" i="1"/>
  <c r="J20" i="1"/>
  <c r="J23" i="1"/>
  <c r="J8" i="1"/>
  <c r="H13" i="1"/>
  <c r="J22" i="1"/>
  <c r="J25" i="1"/>
  <c r="I20" i="1"/>
  <c r="H4" i="1"/>
  <c r="I4" i="1" s="1"/>
  <c r="H8" i="1"/>
  <c r="H12" i="1"/>
  <c r="G14" i="1"/>
  <c r="J24" i="1"/>
  <c r="J28" i="1"/>
  <c r="H6" i="1"/>
  <c r="K20" i="1" l="1"/>
  <c r="K21" i="1" s="1"/>
  <c r="K22" i="1" s="1"/>
  <c r="K23" i="1" s="1"/>
  <c r="K24" i="1" s="1"/>
  <c r="K25" i="1" s="1"/>
  <c r="K26" i="1" s="1"/>
  <c r="K27" i="1" s="1"/>
  <c r="K28" i="1" s="1"/>
  <c r="K5" i="1"/>
  <c r="K6" i="1" s="1"/>
  <c r="K7" i="1" s="1"/>
  <c r="K8" i="1" s="1"/>
  <c r="K9" i="1" s="1"/>
  <c r="K10" i="1" s="1"/>
  <c r="K11" i="1" s="1"/>
  <c r="K12" i="1" s="1"/>
  <c r="K13" i="1" s="1"/>
  <c r="L19" i="1"/>
  <c r="R4" i="1"/>
  <c r="I5" i="1"/>
  <c r="L4" i="1"/>
  <c r="I21" i="1"/>
  <c r="L20" i="1"/>
  <c r="R20" i="1"/>
  <c r="I6" i="1" l="1"/>
  <c r="R5" i="1"/>
  <c r="L5" i="1"/>
  <c r="R21" i="1"/>
  <c r="L21" i="1"/>
  <c r="I22" i="1"/>
  <c r="R22" i="1" l="1"/>
  <c r="I23" i="1"/>
  <c r="L22" i="1"/>
  <c r="I7" i="1"/>
  <c r="L6" i="1"/>
  <c r="R6" i="1"/>
  <c r="R23" i="1" l="1"/>
  <c r="I24" i="1"/>
  <c r="L23" i="1"/>
  <c r="R7" i="1"/>
  <c r="I8" i="1"/>
  <c r="L7" i="1"/>
  <c r="I25" i="1" l="1"/>
  <c r="L24" i="1"/>
  <c r="R24" i="1"/>
  <c r="R8" i="1"/>
  <c r="I9" i="1"/>
  <c r="L8" i="1"/>
  <c r="L9" i="1" l="1"/>
  <c r="I10" i="1"/>
  <c r="R9" i="1"/>
  <c r="R25" i="1"/>
  <c r="I26" i="1"/>
  <c r="L25" i="1"/>
  <c r="R26" i="1" l="1"/>
  <c r="I27" i="1"/>
  <c r="L26" i="1"/>
  <c r="I11" i="1"/>
  <c r="L10" i="1"/>
  <c r="R10" i="1"/>
  <c r="R11" i="1" l="1"/>
  <c r="I12" i="1"/>
  <c r="L11" i="1"/>
  <c r="R27" i="1"/>
  <c r="I28" i="1"/>
  <c r="L27" i="1"/>
  <c r="L28" i="1" l="1"/>
  <c r="L29" i="1" s="1"/>
  <c r="R28" i="1"/>
  <c r="R12" i="1"/>
  <c r="I13" i="1"/>
  <c r="L12" i="1"/>
  <c r="L13" i="1" l="1"/>
  <c r="L14" i="1" s="1"/>
  <c r="R13" i="1"/>
</calcChain>
</file>

<file path=xl/sharedStrings.xml><?xml version="1.0" encoding="utf-8"?>
<sst xmlns="http://schemas.openxmlformats.org/spreadsheetml/2006/main" count="54" uniqueCount="36">
  <si>
    <t>Decile</t>
  </si>
  <si>
    <t>MIN SCORE</t>
  </si>
  <si>
    <t>MAX SCORE</t>
  </si>
  <si>
    <t>Bad#</t>
  </si>
  <si>
    <t>Good#</t>
  </si>
  <si>
    <t>Total</t>
  </si>
  <si>
    <t>BAD RATE</t>
  </si>
  <si>
    <t>BAD PERCENT</t>
  </si>
  <si>
    <t>CUMU. BAD PERCENT</t>
  </si>
  <si>
    <t>GOOD PERCENT</t>
  </si>
  <si>
    <t>CUMU. GOOD PERCENT</t>
  </si>
  <si>
    <t>KS (Kolmogorov–Smirnov)</t>
  </si>
  <si>
    <t>Random Model</t>
  </si>
  <si>
    <t>Lift</t>
  </si>
  <si>
    <t>Baseline</t>
  </si>
  <si>
    <t>Few Checks</t>
  </si>
  <si>
    <t>Both Training &amp; Testing models should have similar pecentages of bads</t>
  </si>
  <si>
    <t>Both of them should follow rank ordering(at least 5 or 6 deciels)</t>
  </si>
  <si>
    <t>First two deciles should give &gt;2 lift</t>
  </si>
  <si>
    <t>KS Should come in first 5 deciles</t>
  </si>
  <si>
    <t>KS</t>
  </si>
  <si>
    <t>Train Sample</t>
  </si>
  <si>
    <t>test Sample</t>
  </si>
  <si>
    <t>Conversion</t>
  </si>
  <si>
    <t>Collections</t>
  </si>
  <si>
    <t>Assuming one FTE can call 25 customers</t>
  </si>
  <si>
    <t>Total Customers</t>
  </si>
  <si>
    <t>Daily Salary</t>
  </si>
  <si>
    <t>Total Expense</t>
  </si>
  <si>
    <t>Cost per account</t>
  </si>
  <si>
    <t>3 decile</t>
  </si>
  <si>
    <t>Collection center</t>
  </si>
  <si>
    <t>Per day</t>
  </si>
  <si>
    <t>Agents</t>
  </si>
  <si>
    <t>Recovery</t>
  </si>
  <si>
    <t>Recovery of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</si>
</sst>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i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3" fontId="4" fillId="4" borderId="1" xfId="0" applyNumberFormat="1" applyFont="1" applyFill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0" fontId="4" fillId="0" borderId="1" xfId="0" applyNumberFormat="1" applyFont="1" applyBorder="1" applyAlignment="1">
      <alignment vertical="top" wrapText="1"/>
    </xf>
    <xf numFmtId="9" fontId="0" fillId="0" borderId="1" xfId="1" applyFont="1" applyBorder="1"/>
    <xf numFmtId="2" fontId="0" fillId="3" borderId="1" xfId="0" applyNumberFormat="1" applyFill="1" applyBorder="1"/>
    <xf numFmtId="2" fontId="0" fillId="0" borderId="1" xfId="0" applyNumberFormat="1" applyBorder="1"/>
    <xf numFmtId="3" fontId="4" fillId="5" borderId="1" xfId="0" applyNumberFormat="1" applyFont="1" applyFill="1" applyBorder="1" applyAlignment="1">
      <alignment vertical="top" wrapText="1"/>
    </xf>
    <xf numFmtId="10" fontId="4" fillId="5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 wrapText="1"/>
    </xf>
    <xf numFmtId="9" fontId="4" fillId="0" borderId="1" xfId="1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5" borderId="0" xfId="0" applyFont="1" applyFill="1" applyAlignment="1">
      <alignment vertical="top" wrapText="1"/>
    </xf>
    <xf numFmtId="10" fontId="4" fillId="5" borderId="0" xfId="0" applyNumberFormat="1" applyFont="1" applyFill="1" applyAlignment="1">
      <alignment vertical="top" wrapText="1"/>
    </xf>
    <xf numFmtId="0" fontId="2" fillId="0" borderId="0" xfId="0" applyFont="1"/>
    <xf numFmtId="3" fontId="4" fillId="0" borderId="1" xfId="0" applyNumberFormat="1" applyFont="1" applyFill="1" applyBorder="1" applyAlignment="1">
      <alignment vertical="top" wrapText="1"/>
    </xf>
    <xf numFmtId="10" fontId="4" fillId="0" borderId="1" xfId="0" applyNumberFormat="1" applyFont="1" applyFill="1" applyBorder="1" applyAlignment="1">
      <alignment vertical="top" wrapText="1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9" fontId="0" fillId="5" borderId="0" xfId="0" applyNumberFormat="1" applyFill="1"/>
    <xf numFmtId="0" fontId="3" fillId="2" borderId="1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u="sng"/>
            </a:pPr>
            <a:r>
              <a:rPr lang="en-US" sz="1100" b="0" u="sng"/>
              <a:t>Gains</a:t>
            </a:r>
            <a:r>
              <a:rPr lang="en-US" sz="1100" b="0" u="sng" baseline="0"/>
              <a:t> Chart  / Lorenz Curve</a:t>
            </a:r>
            <a:endParaRPr lang="en-US" sz="1100" b="0" u="sng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124359000579473"/>
          <c:y val="0.1417116757072972"/>
          <c:w val="0.7563952687732215"/>
          <c:h val="0.56102633590415341"/>
        </c:manualLayout>
      </c:layout>
      <c:lineChart>
        <c:grouping val="standard"/>
        <c:varyColors val="0"/>
        <c:ser>
          <c:idx val="1"/>
          <c:order val="0"/>
          <c:tx>
            <c:v>Dev Sample</c:v>
          </c:tx>
          <c:spPr>
            <a:ln w="63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'Gains Table - Dev &amp; Val Sample'!$A$3:$A$13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'Gains Table - Dev &amp; Val Sample'!$I$3:$I$13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0.27611940298507465</c:v>
                </c:pt>
                <c:pt idx="2">
                  <c:v>0.4925373134328358</c:v>
                </c:pt>
                <c:pt idx="3">
                  <c:v>0.62686567164179108</c:v>
                </c:pt>
                <c:pt idx="4">
                  <c:v>0.76865671641791045</c:v>
                </c:pt>
                <c:pt idx="5">
                  <c:v>0.88059701492537312</c:v>
                </c:pt>
                <c:pt idx="6">
                  <c:v>0.92537313432835822</c:v>
                </c:pt>
                <c:pt idx="7">
                  <c:v>0.96268656716417911</c:v>
                </c:pt>
                <c:pt idx="8">
                  <c:v>0.9850746268656716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9A-4A8D-9115-E342213DC3C2}"/>
            </c:ext>
          </c:extLst>
        </c:ser>
        <c:ser>
          <c:idx val="0"/>
          <c:order val="1"/>
          <c:tx>
            <c:v>Val Sample</c:v>
          </c:tx>
          <c:spPr>
            <a:ln w="6350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'Gains Table - Dev &amp; Val Sample'!$I$18:$I$28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0.38775510204081631</c:v>
                </c:pt>
                <c:pt idx="2">
                  <c:v>0.63265306122448983</c:v>
                </c:pt>
                <c:pt idx="3">
                  <c:v>0.73469387755102045</c:v>
                </c:pt>
                <c:pt idx="4">
                  <c:v>0.83673469387755106</c:v>
                </c:pt>
                <c:pt idx="5">
                  <c:v>0.91836734693877553</c:v>
                </c:pt>
                <c:pt idx="6">
                  <c:v>0.93877551020408168</c:v>
                </c:pt>
                <c:pt idx="7">
                  <c:v>0.97959183673469397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9A-4A8D-9115-E342213DC3C2}"/>
            </c:ext>
          </c:extLst>
        </c:ser>
        <c:ser>
          <c:idx val="2"/>
          <c:order val="2"/>
          <c:tx>
            <c:strRef>
              <c:f>'Gains Table - Dev &amp; Val Sample'!$Q$2</c:f>
              <c:strCache>
                <c:ptCount val="1"/>
                <c:pt idx="0">
                  <c:v>Random Model</c:v>
                </c:pt>
              </c:strCache>
            </c:strRef>
          </c:tx>
          <c:spPr>
            <a:ln w="63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'Gains Table - Dev &amp; Val Sample'!$A$3:$A$13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'Gains Table - Dev &amp; Val Sample'!$Q$3:$Q$13</c:f>
              <c:numCache>
                <c:formatCode>0%</c:formatCode>
                <c:ptCount val="11"/>
                <c:pt idx="0" formatCode="General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9A-4A8D-9115-E342213DC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86688"/>
        <c:axId val="166392960"/>
      </c:lineChart>
      <c:catAx>
        <c:axId val="1663866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="0">
                    <a:solidFill>
                      <a:srgbClr val="0070C0"/>
                    </a:solidFill>
                  </a:defRPr>
                </a:pPr>
                <a:r>
                  <a:rPr lang="en-US" b="0">
                    <a:solidFill>
                      <a:srgbClr val="0070C0"/>
                    </a:solidFill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392960"/>
        <c:crosses val="autoZero"/>
        <c:auto val="1"/>
        <c:lblAlgn val="ctr"/>
        <c:lblOffset val="100"/>
        <c:noMultiLvlLbl val="0"/>
      </c:catAx>
      <c:valAx>
        <c:axId val="16639296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>
                    <a:solidFill>
                      <a:srgbClr val="0070C0"/>
                    </a:solidFill>
                  </a:defRPr>
                </a:pPr>
                <a:r>
                  <a:rPr lang="en-US" b="0">
                    <a:solidFill>
                      <a:srgbClr val="0070C0"/>
                    </a:solidFill>
                  </a:rPr>
                  <a:t>Proportion</a:t>
                </a:r>
                <a:r>
                  <a:rPr lang="en-US" b="0" baseline="0">
                    <a:solidFill>
                      <a:srgbClr val="0070C0"/>
                    </a:solidFill>
                  </a:rPr>
                  <a:t> of defaulters</a:t>
                </a:r>
                <a:endParaRPr lang="en-US" b="0">
                  <a:solidFill>
                    <a:srgbClr val="0070C0"/>
                  </a:solidFill>
                </a:endParaRP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66386688"/>
        <c:crosses val="autoZero"/>
        <c:crossBetween val="between"/>
      </c:valAx>
      <c:spPr>
        <a:solidFill>
          <a:schemeClr val="bg2">
            <a:lumMod val="90000"/>
          </a:schemeClr>
        </a:solidFill>
      </c:spPr>
    </c:plotArea>
    <c:legend>
      <c:legendPos val="b"/>
      <c:overlay val="0"/>
    </c:legend>
    <c:plotVisOnly val="1"/>
    <c:dispBlanksAs val="gap"/>
    <c:showDLblsOverMax val="0"/>
  </c:chart>
  <c:spPr>
    <a:solidFill>
      <a:schemeClr val="lt1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en-US" sz="1100" b="0" i="0" u="sng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sng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Lift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723168808174512"/>
          <c:y val="0.13209499854184895"/>
          <c:w val="0.80793062387391601"/>
          <c:h val="0.54225867599883348"/>
        </c:manualLayout>
      </c:layout>
      <c:lineChart>
        <c:grouping val="standard"/>
        <c:varyColors val="0"/>
        <c:ser>
          <c:idx val="0"/>
          <c:order val="0"/>
          <c:tx>
            <c:v>Dev Sample</c:v>
          </c:tx>
          <c:spPr>
            <a:ln w="6350">
              <a:solidFill>
                <a:schemeClr val="tx2"/>
              </a:solidFill>
            </a:ln>
          </c:spPr>
          <c:marker>
            <c:symbol val="none"/>
          </c:marker>
          <c:cat>
            <c:numRef>
              <c:f>'Gains Table - Dev &amp; Val Sample'!$A$19:$A$28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'Gains Table - Dev &amp; Val Sample'!$R$4:$R$13</c:f>
              <c:numCache>
                <c:formatCode>0.00</c:formatCode>
                <c:ptCount val="10"/>
                <c:pt idx="0">
                  <c:v>2.7611940298507465</c:v>
                </c:pt>
                <c:pt idx="1">
                  <c:v>2.4626865671641789</c:v>
                </c:pt>
                <c:pt idx="2">
                  <c:v>2.0895522388059704</c:v>
                </c:pt>
                <c:pt idx="3">
                  <c:v>1.9216417910447761</c:v>
                </c:pt>
                <c:pt idx="4">
                  <c:v>1.7611940298507462</c:v>
                </c:pt>
                <c:pt idx="5">
                  <c:v>1.5422885572139304</c:v>
                </c:pt>
                <c:pt idx="6">
                  <c:v>1.375266524520256</c:v>
                </c:pt>
                <c:pt idx="7">
                  <c:v>1.2313432835820894</c:v>
                </c:pt>
                <c:pt idx="8">
                  <c:v>1.1111111111111112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B-4F88-8E72-1436D441A832}"/>
            </c:ext>
          </c:extLst>
        </c:ser>
        <c:ser>
          <c:idx val="2"/>
          <c:order val="1"/>
          <c:tx>
            <c:v>Val Sample</c:v>
          </c:tx>
          <c:spPr>
            <a:ln w="6350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'Gains Table - Dev &amp; Val Sample'!$R$19:$R$28</c:f>
              <c:numCache>
                <c:formatCode>0.00</c:formatCode>
                <c:ptCount val="10"/>
                <c:pt idx="0">
                  <c:v>3.8775510204081631</c:v>
                </c:pt>
                <c:pt idx="1">
                  <c:v>3.1632653061224492</c:v>
                </c:pt>
                <c:pt idx="2">
                  <c:v>2.4489795918367347</c:v>
                </c:pt>
                <c:pt idx="3">
                  <c:v>2.0918367346938775</c:v>
                </c:pt>
                <c:pt idx="4">
                  <c:v>1.8367346938775511</c:v>
                </c:pt>
                <c:pt idx="5">
                  <c:v>1.5646258503401362</c:v>
                </c:pt>
                <c:pt idx="6">
                  <c:v>1.3994169096209914</c:v>
                </c:pt>
                <c:pt idx="7">
                  <c:v>1.25</c:v>
                </c:pt>
                <c:pt idx="8">
                  <c:v>1.1111111111111112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CB-4F88-8E72-1436D441A832}"/>
            </c:ext>
          </c:extLst>
        </c:ser>
        <c:ser>
          <c:idx val="1"/>
          <c:order val="2"/>
          <c:tx>
            <c:v>Baseline</c:v>
          </c:tx>
          <c:spPr>
            <a:ln w="952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'Gains Table - Dev &amp; Val Sample'!$A$19:$A$28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'Gains Table - Dev &amp; Val Sample'!$S$4:$S$13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CB-4F88-8E72-1436D441A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04768"/>
        <c:axId val="162306688"/>
      </c:lineChart>
      <c:catAx>
        <c:axId val="16230476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="0">
                    <a:solidFill>
                      <a:srgbClr val="0070C0"/>
                    </a:solidFill>
                  </a:defRPr>
                </a:pPr>
                <a:r>
                  <a:rPr lang="en-US" b="0">
                    <a:solidFill>
                      <a:srgbClr val="0070C0"/>
                    </a:solidFill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306688"/>
        <c:crosses val="autoZero"/>
        <c:auto val="1"/>
        <c:lblAlgn val="ctr"/>
        <c:lblOffset val="100"/>
        <c:noMultiLvlLbl val="0"/>
      </c:catAx>
      <c:valAx>
        <c:axId val="162306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>
                    <a:solidFill>
                      <a:srgbClr val="0070C0"/>
                    </a:solidFill>
                  </a:defRPr>
                </a:pPr>
                <a:r>
                  <a:rPr lang="en-US" b="0">
                    <a:solidFill>
                      <a:srgbClr val="0070C0"/>
                    </a:solidFill>
                  </a:rPr>
                  <a:t>Lift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>
            <a:solidFill>
              <a:schemeClr val="bg1">
                <a:lumMod val="95000"/>
              </a:schemeClr>
            </a:solidFill>
          </a:ln>
        </c:spPr>
        <c:crossAx val="162304768"/>
        <c:crosses val="autoZero"/>
        <c:crossBetween val="between"/>
      </c:valAx>
      <c:spPr>
        <a:solidFill>
          <a:schemeClr val="bg2">
            <a:lumMod val="90000"/>
          </a:schemeClr>
        </a:solidFill>
      </c:spPr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'Gains Table - Dev &amp; Val Sample'!$I$2</c:f>
              <c:strCache>
                <c:ptCount val="1"/>
                <c:pt idx="0">
                  <c:v>CUMU. BAD PERCENT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'Gains Table - Dev &amp; Val Sample'!$A$17:$A$28</c15:sqref>
                  </c15:fullRef>
                </c:ext>
              </c:extLst>
              <c:f>'Gains Table - Dev &amp; Val Sample'!$A$18:$A$28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'Gains Table - Dev &amp; Val Sample'!$I$2:$I$13</c15:sqref>
                  </c15:fullRef>
                </c:ext>
              </c:extLst>
              <c:f>'Gains Table - Dev &amp; Val Sample'!$I$3:$I$13</c:f>
              <c:numCache>
                <c:formatCode>General</c:formatCode>
                <c:ptCount val="11"/>
                <c:pt idx="0">
                  <c:v>0</c:v>
                </c:pt>
                <c:pt idx="1" formatCode="0.00%">
                  <c:v>0.27611940298507465</c:v>
                </c:pt>
                <c:pt idx="2" formatCode="0.00%">
                  <c:v>0.4925373134328358</c:v>
                </c:pt>
                <c:pt idx="3" formatCode="0.00%">
                  <c:v>0.62686567164179108</c:v>
                </c:pt>
                <c:pt idx="4" formatCode="0.00%">
                  <c:v>0.76865671641791045</c:v>
                </c:pt>
                <c:pt idx="5" formatCode="0.00%">
                  <c:v>0.88059701492537312</c:v>
                </c:pt>
                <c:pt idx="6" formatCode="0.00%">
                  <c:v>0.92537313432835822</c:v>
                </c:pt>
                <c:pt idx="7" formatCode="0.00%">
                  <c:v>0.96268656716417911</c:v>
                </c:pt>
                <c:pt idx="8" formatCode="0.00%">
                  <c:v>0.9850746268656716</c:v>
                </c:pt>
                <c:pt idx="9" formatCode="0.00%">
                  <c:v>1</c:v>
                </c:pt>
                <c:pt idx="10" formatCode="0.0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B-409A-BF69-C297F2876F2C}"/>
            </c:ext>
          </c:extLst>
        </c:ser>
        <c:ser>
          <c:idx val="2"/>
          <c:order val="1"/>
          <c:tx>
            <c:strRef>
              <c:f>'Gains Table - Dev &amp; Val Sample'!$I$17</c:f>
              <c:strCache>
                <c:ptCount val="1"/>
                <c:pt idx="0">
                  <c:v>CUMU. BAD PERCENT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'Gains Table - Dev &amp; Val Sample'!$A$17:$A$28</c15:sqref>
                  </c15:fullRef>
                </c:ext>
              </c:extLst>
              <c:f>'Gains Table - Dev &amp; Val Sample'!$A$18:$A$28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'Gains Table - Dev &amp; Val Sample'!$I$17:$I$28</c15:sqref>
                  </c15:fullRef>
                </c:ext>
              </c:extLst>
              <c:f>'Gains Table - Dev &amp; Val Sample'!$I$18:$I$28</c:f>
              <c:numCache>
                <c:formatCode>General</c:formatCode>
                <c:ptCount val="11"/>
                <c:pt idx="0">
                  <c:v>0</c:v>
                </c:pt>
                <c:pt idx="1" formatCode="0.00%">
                  <c:v>0.38775510204081631</c:v>
                </c:pt>
                <c:pt idx="2" formatCode="0.00%">
                  <c:v>0.63265306122448983</c:v>
                </c:pt>
                <c:pt idx="3" formatCode="0.00%">
                  <c:v>0.73469387755102045</c:v>
                </c:pt>
                <c:pt idx="4" formatCode="0.00%">
                  <c:v>0.83673469387755106</c:v>
                </c:pt>
                <c:pt idx="5" formatCode="0.00%">
                  <c:v>0.91836734693877553</c:v>
                </c:pt>
                <c:pt idx="6" formatCode="0.00%">
                  <c:v>0.93877551020408168</c:v>
                </c:pt>
                <c:pt idx="7" formatCode="0.00%">
                  <c:v>0.97959183673469397</c:v>
                </c:pt>
                <c:pt idx="8" formatCode="0.00%">
                  <c:v>1</c:v>
                </c:pt>
                <c:pt idx="9" formatCode="0.00%">
                  <c:v>1</c:v>
                </c:pt>
                <c:pt idx="10" formatCode="0.0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FB-409A-BF69-C297F2876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5273160"/>
        <c:axId val="465268896"/>
      </c:lineChart>
      <c:catAx>
        <c:axId val="46527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268896"/>
        <c:crosses val="autoZero"/>
        <c:auto val="1"/>
        <c:lblAlgn val="ctr"/>
        <c:lblOffset val="100"/>
        <c:noMultiLvlLbl val="0"/>
      </c:catAx>
      <c:valAx>
        <c:axId val="46526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27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3</xdr:row>
      <xdr:rowOff>28576</xdr:rowOff>
    </xdr:from>
    <xdr:to>
      <xdr:col>12</xdr:col>
      <xdr:colOff>400050</xdr:colOff>
      <xdr:row>5</xdr:row>
      <xdr:rowOff>152400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67E93E04-5DF7-4025-A8CA-F7258A8326C9}"/>
            </a:ext>
          </a:extLst>
        </xdr:cNvPr>
        <xdr:cNvSpPr/>
      </xdr:nvSpPr>
      <xdr:spPr>
        <a:xfrm>
          <a:off x="9191625" y="695326"/>
          <a:ext cx="257175" cy="50482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419100</xdr:colOff>
      <xdr:row>1</xdr:row>
      <xdr:rowOff>190500</xdr:rowOff>
    </xdr:from>
    <xdr:to>
      <xdr:col>15</xdr:col>
      <xdr:colOff>533400</xdr:colOff>
      <xdr:row>5</xdr:row>
      <xdr:rowOff>123825</xdr:rowOff>
    </xdr:to>
    <xdr:sp macro="" textlink="">
      <xdr:nvSpPr>
        <xdr:cNvPr id="3" name="Rounded Rectangle 4">
          <a:extLst>
            <a:ext uri="{FF2B5EF4-FFF2-40B4-BE49-F238E27FC236}">
              <a16:creationId xmlns:a16="http://schemas.microsoft.com/office/drawing/2014/main" id="{AF7AF876-49F4-4D01-8C14-E67FBC69DE74}"/>
            </a:ext>
          </a:extLst>
        </xdr:cNvPr>
        <xdr:cNvSpPr/>
      </xdr:nvSpPr>
      <xdr:spPr>
        <a:xfrm>
          <a:off x="9467850" y="381000"/>
          <a:ext cx="1943100" cy="790575"/>
        </a:xfrm>
        <a:prstGeom prst="roundRect">
          <a:avLst/>
        </a:prstGeom>
        <a:ln w="12700">
          <a:prstDash val="dash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</a:t>
          </a:r>
          <a:r>
            <a:rPr lang="en-US" sz="1100" baseline="0"/>
            <a:t> model is able to capture 63% of defaulters in the top 3 deciles.</a:t>
          </a:r>
          <a:endParaRPr lang="en-US" sz="1100"/>
        </a:p>
      </xdr:txBody>
    </xdr:sp>
    <xdr:clientData/>
  </xdr:twoCellAnchor>
  <xdr:twoCellAnchor>
    <xdr:from>
      <xdr:col>0</xdr:col>
      <xdr:colOff>371475</xdr:colOff>
      <xdr:row>34</xdr:row>
      <xdr:rowOff>47625</xdr:rowOff>
    </xdr:from>
    <xdr:to>
      <xdr:col>7</xdr:col>
      <xdr:colOff>640772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D393AF-4B19-4306-AAF4-1E5A4448F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267890</xdr:colOff>
      <xdr:row>34</xdr:row>
      <xdr:rowOff>143269</xdr:rowOff>
    </xdr:from>
    <xdr:to>
      <xdr:col>21</xdr:col>
      <xdr:colOff>565547</xdr:colOff>
      <xdr:row>49</xdr:row>
      <xdr:rowOff>167083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46507E-3A29-4B51-ADB7-64D11D570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138905</xdr:colOff>
      <xdr:row>30</xdr:row>
      <xdr:rowOff>167083</xdr:rowOff>
    </xdr:from>
    <xdr:to>
      <xdr:col>20</xdr:col>
      <xdr:colOff>317500</xdr:colOff>
      <xdr:row>34</xdr:row>
      <xdr:rowOff>26192</xdr:rowOff>
    </xdr:to>
    <xdr:sp macro="" textlink="">
      <xdr:nvSpPr>
        <xdr:cNvPr id="6" name="Rounded Rectangle 9">
          <a:extLst>
            <a:ext uri="{FF2B5EF4-FFF2-40B4-BE49-F238E27FC236}">
              <a16:creationId xmlns:a16="http://schemas.microsoft.com/office/drawing/2014/main" id="{8C8CAC09-7791-47C4-B2CF-32FB9FF2C4FE}"/>
            </a:ext>
          </a:extLst>
        </xdr:cNvPr>
        <xdr:cNvSpPr/>
      </xdr:nvSpPr>
      <xdr:spPr>
        <a:xfrm>
          <a:off x="10406855" y="6072583"/>
          <a:ext cx="4131470" cy="621109"/>
        </a:xfrm>
        <a:prstGeom prst="roundRect">
          <a:avLst/>
        </a:prstGeom>
        <a:ln w="12700">
          <a:prstDash val="dash"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The</a:t>
          </a:r>
          <a:r>
            <a:rPr lang="en-US" sz="1100" baseline="0"/>
            <a:t> model yields a lift of </a:t>
          </a:r>
          <a:r>
            <a:rPr lang="en-US" sz="1100" b="1" baseline="0"/>
            <a:t>4.8 </a:t>
          </a:r>
          <a:r>
            <a:rPr lang="en-US" sz="1100" b="0" baseline="0"/>
            <a:t>on both the development and validation samples</a:t>
          </a:r>
          <a:endParaRPr lang="en-US" sz="1100" b="0"/>
        </a:p>
      </xdr:txBody>
    </xdr:sp>
    <xdr:clientData/>
  </xdr:twoCellAnchor>
  <xdr:twoCellAnchor>
    <xdr:from>
      <xdr:col>8</xdr:col>
      <xdr:colOff>186169</xdr:colOff>
      <xdr:row>37</xdr:row>
      <xdr:rowOff>69415</xdr:rowOff>
    </xdr:from>
    <xdr:to>
      <xdr:col>13</xdr:col>
      <xdr:colOff>235094</xdr:colOff>
      <xdr:row>52</xdr:row>
      <xdr:rowOff>176571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955FC3-C305-4BD9-A5DB-2D3DB061C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0AC7-3042-4C53-853C-5FADE4013D73}">
  <sheetPr>
    <tabColor rgb="FF00B0F0"/>
  </sheetPr>
  <dimension ref="A1:U29"/>
  <sheetViews>
    <sheetView showGridLines="0" zoomScale="110" zoomScaleNormal="110" workbookViewId="0">
      <selection activeCell="A4" sqref="A4:XFD6"/>
    </sheetView>
  </sheetViews>
  <sheetFormatPr defaultRowHeight="14.4" x14ac:dyDescent="0.3"/>
  <cols>
    <col min="1" max="1" width="7.44140625" customWidth="1"/>
    <col min="2" max="2" width="6.88671875" bestFit="1" customWidth="1"/>
    <col min="3" max="3" width="7.44140625" bestFit="1" customWidth="1"/>
    <col min="4" max="4" width="9.88671875" bestFit="1" customWidth="1"/>
    <col min="5" max="5" width="8.33203125" bestFit="1" customWidth="1"/>
    <col min="6" max="6" width="9.88671875" bestFit="1" customWidth="1"/>
    <col min="7" max="7" width="13.88671875" customWidth="1"/>
    <col min="8" max="8" width="12.88671875" customWidth="1"/>
    <col min="9" max="9" width="13.44140625" customWidth="1"/>
    <col min="10" max="10" width="15.5546875" customWidth="1"/>
    <col min="11" max="11" width="13.109375" customWidth="1"/>
    <col min="12" max="12" width="20" bestFit="1" customWidth="1"/>
    <col min="15" max="15" width="3.88671875" customWidth="1"/>
    <col min="17" max="17" width="14.6640625" bestFit="1" customWidth="1"/>
    <col min="18" max="19" width="8.5546875" bestFit="1" customWidth="1"/>
  </cols>
  <sheetData>
    <row r="1" spans="1:21" x14ac:dyDescent="0.3">
      <c r="A1" s="31" t="s">
        <v>21</v>
      </c>
      <c r="B1" s="31"/>
      <c r="C1" s="31"/>
      <c r="D1" s="31"/>
      <c r="E1" s="31"/>
      <c r="F1" s="31"/>
      <c r="G1" s="31"/>
      <c r="H1" s="31"/>
      <c r="I1" s="31"/>
      <c r="J1" s="1"/>
      <c r="K1" s="1"/>
      <c r="L1" s="1"/>
    </row>
    <row r="2" spans="1:21" ht="29.25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Q2" s="3" t="s">
        <v>12</v>
      </c>
      <c r="R2" s="3" t="s">
        <v>13</v>
      </c>
      <c r="S2" s="3" t="s">
        <v>14</v>
      </c>
    </row>
    <row r="3" spans="1:21" ht="1.5" customHeight="1" x14ac:dyDescent="0.3">
      <c r="A3" s="2">
        <v>0</v>
      </c>
      <c r="B3" s="2"/>
      <c r="C3" s="2"/>
      <c r="D3" s="2"/>
      <c r="E3" s="2"/>
      <c r="F3" s="2"/>
      <c r="G3" s="2"/>
      <c r="H3" s="2"/>
      <c r="I3" s="2">
        <v>0</v>
      </c>
      <c r="J3" s="4"/>
      <c r="K3" s="4"/>
      <c r="L3" s="4"/>
      <c r="Q3" s="5">
        <v>0</v>
      </c>
      <c r="R3" s="5">
        <v>0</v>
      </c>
      <c r="S3" s="5">
        <v>1</v>
      </c>
    </row>
    <row r="4" spans="1:21" x14ac:dyDescent="0.3">
      <c r="A4" s="6">
        <v>1</v>
      </c>
      <c r="B4" s="7">
        <v>0.62978022406642298</v>
      </c>
      <c r="C4" s="7">
        <v>0.98681610652083596</v>
      </c>
      <c r="D4" s="8">
        <v>37</v>
      </c>
      <c r="E4" s="8">
        <f>F4-D4</f>
        <v>12</v>
      </c>
      <c r="F4" s="9">
        <v>49</v>
      </c>
      <c r="G4" s="10">
        <f>D4/F4</f>
        <v>0.75510204081632648</v>
      </c>
      <c r="H4" s="10">
        <f>D4/$D$14</f>
        <v>0.27611940298507465</v>
      </c>
      <c r="I4" s="10">
        <f>H4</f>
        <v>0.27611940298507465</v>
      </c>
      <c r="J4" s="10">
        <f>E4/$E$14</f>
        <v>3.3707865168539325E-2</v>
      </c>
      <c r="K4" s="10">
        <f>J4</f>
        <v>3.3707865168539325E-2</v>
      </c>
      <c r="L4" s="10">
        <f>ABS(I4-K4)</f>
        <v>0.24241153781653532</v>
      </c>
      <c r="Q4" s="11">
        <v>0.1</v>
      </c>
      <c r="R4" s="12">
        <f t="shared" ref="R4:R13" si="0">I4/Q4</f>
        <v>2.7611940298507465</v>
      </c>
      <c r="S4" s="5">
        <v>1</v>
      </c>
      <c r="U4" t="s">
        <v>15</v>
      </c>
    </row>
    <row r="5" spans="1:21" x14ac:dyDescent="0.3">
      <c r="A5" s="6">
        <v>2</v>
      </c>
      <c r="B5" s="7">
        <v>0.49228881722914802</v>
      </c>
      <c r="C5" s="7">
        <v>0.62565756829584596</v>
      </c>
      <c r="D5" s="8">
        <v>29</v>
      </c>
      <c r="E5" s="8">
        <f t="shared" ref="E5:E13" si="1">F5-D5</f>
        <v>20</v>
      </c>
      <c r="F5" s="9">
        <v>49</v>
      </c>
      <c r="G5" s="10">
        <f t="shared" ref="G5:G13" si="2">D5/F5</f>
        <v>0.59183673469387754</v>
      </c>
      <c r="H5" s="10">
        <f t="shared" ref="H5:H13" si="3">D5/$D$14</f>
        <v>0.21641791044776118</v>
      </c>
      <c r="I5" s="10">
        <f>I4+H5</f>
        <v>0.4925373134328358</v>
      </c>
      <c r="J5" s="10">
        <f t="shared" ref="J5:J13" si="4">E5/$E$14</f>
        <v>5.6179775280898875E-2</v>
      </c>
      <c r="K5" s="10">
        <f>K4+J5</f>
        <v>8.98876404494382E-2</v>
      </c>
      <c r="L5" s="10">
        <f t="shared" ref="L5:L13" si="5">ABS(I5-K5)</f>
        <v>0.4026496729833976</v>
      </c>
      <c r="Q5" s="11">
        <v>0.2</v>
      </c>
      <c r="R5" s="13">
        <f t="shared" si="0"/>
        <v>2.4626865671641789</v>
      </c>
      <c r="S5" s="5">
        <v>1</v>
      </c>
      <c r="U5" t="s">
        <v>16</v>
      </c>
    </row>
    <row r="6" spans="1:21" x14ac:dyDescent="0.3">
      <c r="A6" s="6">
        <v>3</v>
      </c>
      <c r="B6" s="7">
        <v>0.39665975191764202</v>
      </c>
      <c r="C6" s="7">
        <v>0.49182133931609701</v>
      </c>
      <c r="D6" s="8">
        <v>18</v>
      </c>
      <c r="E6" s="8">
        <f t="shared" si="1"/>
        <v>31</v>
      </c>
      <c r="F6" s="24">
        <v>49</v>
      </c>
      <c r="G6" s="25">
        <f t="shared" si="2"/>
        <v>0.36734693877551022</v>
      </c>
      <c r="H6" s="25">
        <f t="shared" si="3"/>
        <v>0.13432835820895522</v>
      </c>
      <c r="I6" s="25">
        <f t="shared" ref="I6:I13" si="6">I5+H6</f>
        <v>0.62686567164179108</v>
      </c>
      <c r="J6" s="25">
        <f t="shared" si="4"/>
        <v>8.7078651685393263E-2</v>
      </c>
      <c r="K6" s="25">
        <f t="shared" ref="K6:K13" si="7">K5+J6</f>
        <v>0.17696629213483145</v>
      </c>
      <c r="L6" s="25">
        <f t="shared" si="5"/>
        <v>0.44989937950695963</v>
      </c>
      <c r="Q6" s="11">
        <v>0.3</v>
      </c>
      <c r="R6" s="13">
        <f t="shared" si="0"/>
        <v>2.0895522388059704</v>
      </c>
      <c r="S6" s="5">
        <v>1</v>
      </c>
      <c r="U6" t="s">
        <v>17</v>
      </c>
    </row>
    <row r="7" spans="1:21" x14ac:dyDescent="0.3">
      <c r="A7" s="6">
        <v>4</v>
      </c>
      <c r="B7" s="7">
        <v>0.28937245551392698</v>
      </c>
      <c r="C7" s="7">
        <v>0.39606983087829201</v>
      </c>
      <c r="D7" s="8">
        <v>19</v>
      </c>
      <c r="E7" s="8">
        <f t="shared" si="1"/>
        <v>30</v>
      </c>
      <c r="F7" s="9">
        <v>49</v>
      </c>
      <c r="G7" s="10">
        <f t="shared" si="2"/>
        <v>0.38775510204081631</v>
      </c>
      <c r="H7" s="25">
        <f t="shared" si="3"/>
        <v>0.1417910447761194</v>
      </c>
      <c r="I7" s="25">
        <f t="shared" si="6"/>
        <v>0.76865671641791045</v>
      </c>
      <c r="J7" s="25">
        <f t="shared" si="4"/>
        <v>8.4269662921348312E-2</v>
      </c>
      <c r="K7" s="25">
        <f t="shared" si="7"/>
        <v>0.26123595505617975</v>
      </c>
      <c r="L7" s="25">
        <f t="shared" si="5"/>
        <v>0.50742076136173075</v>
      </c>
      <c r="Q7" s="11">
        <v>0.4</v>
      </c>
      <c r="R7" s="13">
        <f t="shared" si="0"/>
        <v>1.9216417910447761</v>
      </c>
      <c r="S7" s="5">
        <v>1</v>
      </c>
      <c r="U7" t="s">
        <v>18</v>
      </c>
    </row>
    <row r="8" spans="1:21" x14ac:dyDescent="0.3">
      <c r="A8" s="6">
        <v>5</v>
      </c>
      <c r="B8" s="7">
        <v>0.21503403837712701</v>
      </c>
      <c r="C8" s="7">
        <v>0.28842192979407899</v>
      </c>
      <c r="D8" s="8">
        <v>15</v>
      </c>
      <c r="E8" s="8">
        <f t="shared" si="1"/>
        <v>34</v>
      </c>
      <c r="F8" s="24">
        <v>49</v>
      </c>
      <c r="G8" s="25">
        <f t="shared" si="2"/>
        <v>0.30612244897959184</v>
      </c>
      <c r="H8" s="15">
        <f t="shared" si="3"/>
        <v>0.11194029850746269</v>
      </c>
      <c r="I8" s="15">
        <f t="shared" si="6"/>
        <v>0.88059701492537312</v>
      </c>
      <c r="J8" s="15">
        <f t="shared" si="4"/>
        <v>9.5505617977528087E-2</v>
      </c>
      <c r="K8" s="15">
        <f t="shared" si="7"/>
        <v>0.35674157303370785</v>
      </c>
      <c r="L8" s="15">
        <f t="shared" si="5"/>
        <v>0.52385544189166522</v>
      </c>
      <c r="Q8" s="11">
        <v>0.5</v>
      </c>
      <c r="R8" s="13">
        <f t="shared" si="0"/>
        <v>1.7611940298507462</v>
      </c>
      <c r="S8" s="5">
        <v>1</v>
      </c>
      <c r="U8" t="s">
        <v>19</v>
      </c>
    </row>
    <row r="9" spans="1:21" x14ac:dyDescent="0.3">
      <c r="A9" s="6">
        <v>6</v>
      </c>
      <c r="B9" s="7">
        <v>0.14443467653347</v>
      </c>
      <c r="C9" s="7">
        <v>0.21151452901426401</v>
      </c>
      <c r="D9" s="8">
        <v>6</v>
      </c>
      <c r="E9" s="8">
        <f t="shared" si="1"/>
        <v>43</v>
      </c>
      <c r="F9" s="9">
        <v>49</v>
      </c>
      <c r="G9" s="10">
        <f t="shared" si="2"/>
        <v>0.12244897959183673</v>
      </c>
      <c r="H9" s="10">
        <f t="shared" si="3"/>
        <v>4.4776119402985072E-2</v>
      </c>
      <c r="I9" s="10">
        <f t="shared" si="6"/>
        <v>0.92537313432835822</v>
      </c>
      <c r="J9" s="10">
        <f t="shared" si="4"/>
        <v>0.12078651685393259</v>
      </c>
      <c r="K9" s="10">
        <f t="shared" si="7"/>
        <v>0.47752808988764045</v>
      </c>
      <c r="L9" s="10">
        <f t="shared" si="5"/>
        <v>0.44784504444071777</v>
      </c>
      <c r="Q9" s="11">
        <v>0.6</v>
      </c>
      <c r="R9" s="13">
        <f t="shared" si="0"/>
        <v>1.5422885572139304</v>
      </c>
      <c r="S9" s="5">
        <v>1</v>
      </c>
    </row>
    <row r="10" spans="1:21" x14ac:dyDescent="0.3">
      <c r="A10" s="6">
        <v>7</v>
      </c>
      <c r="B10" s="7">
        <v>8.4038240943856105E-2</v>
      </c>
      <c r="C10" s="7">
        <v>0.14375843913470501</v>
      </c>
      <c r="D10" s="8">
        <v>5</v>
      </c>
      <c r="E10" s="8">
        <f t="shared" si="1"/>
        <v>44</v>
      </c>
      <c r="F10" s="9">
        <v>49</v>
      </c>
      <c r="G10" s="10">
        <f t="shared" si="2"/>
        <v>0.10204081632653061</v>
      </c>
      <c r="H10" s="10">
        <f t="shared" si="3"/>
        <v>3.7313432835820892E-2</v>
      </c>
      <c r="I10" s="10">
        <f t="shared" si="6"/>
        <v>0.96268656716417911</v>
      </c>
      <c r="J10" s="10">
        <f t="shared" si="4"/>
        <v>0.12359550561797752</v>
      </c>
      <c r="K10" s="10">
        <f t="shared" si="7"/>
        <v>0.601123595505618</v>
      </c>
      <c r="L10" s="10">
        <f t="shared" si="5"/>
        <v>0.36156297165856111</v>
      </c>
      <c r="Q10" s="11">
        <v>0.7</v>
      </c>
      <c r="R10" s="13">
        <f t="shared" si="0"/>
        <v>1.375266524520256</v>
      </c>
      <c r="S10" s="5">
        <v>1</v>
      </c>
    </row>
    <row r="11" spans="1:21" x14ac:dyDescent="0.3">
      <c r="A11" s="6">
        <v>8</v>
      </c>
      <c r="B11" s="7">
        <v>4.0619350627104298E-2</v>
      </c>
      <c r="C11" s="7">
        <v>8.3719922830017293E-2</v>
      </c>
      <c r="D11" s="8">
        <v>3</v>
      </c>
      <c r="E11" s="8">
        <f t="shared" si="1"/>
        <v>46</v>
      </c>
      <c r="F11" s="9">
        <v>49</v>
      </c>
      <c r="G11" s="10">
        <f t="shared" si="2"/>
        <v>6.1224489795918366E-2</v>
      </c>
      <c r="H11" s="10">
        <f t="shared" si="3"/>
        <v>2.2388059701492536E-2</v>
      </c>
      <c r="I11" s="10">
        <f t="shared" si="6"/>
        <v>0.9850746268656716</v>
      </c>
      <c r="J11" s="10">
        <f t="shared" si="4"/>
        <v>0.12921348314606743</v>
      </c>
      <c r="K11" s="10">
        <f t="shared" si="7"/>
        <v>0.7303370786516854</v>
      </c>
      <c r="L11" s="10">
        <f t="shared" si="5"/>
        <v>0.2547375482139862</v>
      </c>
      <c r="Q11" s="11">
        <v>0.8</v>
      </c>
      <c r="R11" s="13">
        <f t="shared" si="0"/>
        <v>1.2313432835820894</v>
      </c>
      <c r="S11" s="5">
        <v>1</v>
      </c>
    </row>
    <row r="12" spans="1:21" x14ac:dyDescent="0.3">
      <c r="A12" s="6">
        <v>9</v>
      </c>
      <c r="B12" s="7">
        <v>1.35346090689947E-2</v>
      </c>
      <c r="C12" s="7">
        <v>4.0587694159179899E-2</v>
      </c>
      <c r="D12" s="8">
        <v>2</v>
      </c>
      <c r="E12" s="8">
        <f t="shared" si="1"/>
        <v>47</v>
      </c>
      <c r="F12" s="9">
        <v>49</v>
      </c>
      <c r="G12" s="10">
        <f t="shared" si="2"/>
        <v>4.0816326530612242E-2</v>
      </c>
      <c r="H12" s="10">
        <f t="shared" si="3"/>
        <v>1.4925373134328358E-2</v>
      </c>
      <c r="I12" s="10">
        <f t="shared" si="6"/>
        <v>1</v>
      </c>
      <c r="J12" s="10">
        <f t="shared" si="4"/>
        <v>0.13202247191011235</v>
      </c>
      <c r="K12" s="10">
        <f t="shared" si="7"/>
        <v>0.86235955056179781</v>
      </c>
      <c r="L12" s="10">
        <f t="shared" si="5"/>
        <v>0.13764044943820219</v>
      </c>
      <c r="Q12" s="11">
        <v>0.9</v>
      </c>
      <c r="R12" s="13">
        <f t="shared" si="0"/>
        <v>1.1111111111111112</v>
      </c>
      <c r="S12" s="5">
        <v>1</v>
      </c>
    </row>
    <row r="13" spans="1:21" x14ac:dyDescent="0.3">
      <c r="A13" s="6">
        <v>10</v>
      </c>
      <c r="B13" s="7">
        <v>1.34852910733142E-3</v>
      </c>
      <c r="C13" s="7">
        <v>1.2572195145713901E-2</v>
      </c>
      <c r="D13" s="8">
        <v>0</v>
      </c>
      <c r="E13" s="8">
        <f t="shared" si="1"/>
        <v>49</v>
      </c>
      <c r="F13" s="9">
        <v>49</v>
      </c>
      <c r="G13" s="10">
        <f t="shared" si="2"/>
        <v>0</v>
      </c>
      <c r="H13" s="10">
        <f t="shared" si="3"/>
        <v>0</v>
      </c>
      <c r="I13" s="10">
        <f t="shared" si="6"/>
        <v>1</v>
      </c>
      <c r="J13" s="10">
        <f t="shared" si="4"/>
        <v>0.13764044943820225</v>
      </c>
      <c r="K13" s="10">
        <f t="shared" si="7"/>
        <v>1</v>
      </c>
      <c r="L13" s="10">
        <f t="shared" si="5"/>
        <v>0</v>
      </c>
      <c r="Q13" s="11">
        <v>1</v>
      </c>
      <c r="R13" s="13">
        <f t="shared" si="0"/>
        <v>1</v>
      </c>
      <c r="S13" s="5">
        <v>1</v>
      </c>
    </row>
    <row r="14" spans="1:21" x14ac:dyDescent="0.3">
      <c r="A14" s="16"/>
      <c r="B14" s="17"/>
      <c r="C14" s="17"/>
      <c r="D14" s="18">
        <f>SUM(D4:D13)</f>
        <v>134</v>
      </c>
      <c r="E14" s="18">
        <f>SUM(E4:E13)</f>
        <v>356</v>
      </c>
      <c r="F14" s="18">
        <f>SUM(F4:F13)</f>
        <v>490</v>
      </c>
      <c r="G14" s="19">
        <f>D14/F14</f>
        <v>0.27346938775510204</v>
      </c>
      <c r="H14" s="16"/>
      <c r="I14" s="16"/>
      <c r="J14" s="20"/>
      <c r="K14" s="21" t="s">
        <v>20</v>
      </c>
      <c r="L14" s="22">
        <f>MAX(L4:L13)</f>
        <v>0.52385544189166522</v>
      </c>
    </row>
    <row r="16" spans="1:21" ht="15" customHeight="1" x14ac:dyDescent="0.3">
      <c r="A16" s="31" t="s">
        <v>22</v>
      </c>
      <c r="B16" s="31"/>
      <c r="C16" s="31"/>
      <c r="D16" s="31"/>
      <c r="E16" s="31"/>
      <c r="F16" s="31"/>
      <c r="G16" s="31"/>
      <c r="H16" s="31"/>
      <c r="I16" s="31"/>
      <c r="J16" s="1"/>
      <c r="K16" s="1"/>
      <c r="L16" s="1"/>
    </row>
    <row r="17" spans="1:19" ht="24" x14ac:dyDescent="0.3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20</v>
      </c>
      <c r="Q17" s="3" t="s">
        <v>12</v>
      </c>
      <c r="R17" s="3" t="s">
        <v>13</v>
      </c>
      <c r="S17" s="3" t="s">
        <v>14</v>
      </c>
    </row>
    <row r="18" spans="1:19" ht="1.5" customHeight="1" x14ac:dyDescent="0.3">
      <c r="A18" s="2">
        <v>0</v>
      </c>
      <c r="B18" s="2"/>
      <c r="C18" s="2"/>
      <c r="D18" s="2"/>
      <c r="E18" s="2"/>
      <c r="F18" s="2"/>
      <c r="G18" s="2"/>
      <c r="H18" s="2"/>
      <c r="I18" s="2">
        <v>0</v>
      </c>
      <c r="J18" s="4"/>
      <c r="K18" s="4"/>
      <c r="L18" s="4"/>
      <c r="Q18" s="5">
        <v>0</v>
      </c>
      <c r="R18" s="5"/>
      <c r="S18" s="5">
        <v>1</v>
      </c>
    </row>
    <row r="19" spans="1:19" x14ac:dyDescent="0.3">
      <c r="A19" s="6">
        <v>1</v>
      </c>
      <c r="B19" s="7">
        <v>0.67737561251374001</v>
      </c>
      <c r="C19" s="7">
        <v>0.97222114963540496</v>
      </c>
      <c r="D19" s="8">
        <v>19</v>
      </c>
      <c r="E19" s="8">
        <f>F19-D19</f>
        <v>2</v>
      </c>
      <c r="F19" s="9">
        <v>21</v>
      </c>
      <c r="G19" s="10">
        <f>D19/F19</f>
        <v>0.90476190476190477</v>
      </c>
      <c r="H19" s="10">
        <f>D19/$D$29</f>
        <v>0.38775510204081631</v>
      </c>
      <c r="I19" s="10">
        <f>H19</f>
        <v>0.38775510204081631</v>
      </c>
      <c r="J19" s="10">
        <f>E19/$E$29</f>
        <v>1.2422360248447204E-2</v>
      </c>
      <c r="K19" s="10">
        <f>J19</f>
        <v>1.2422360248447204E-2</v>
      </c>
      <c r="L19" s="10">
        <f>ABS(I19-K19)</f>
        <v>0.37533274179236908</v>
      </c>
      <c r="P19" s="11"/>
      <c r="Q19" s="11">
        <v>0.1</v>
      </c>
      <c r="R19" s="12">
        <f t="shared" ref="R19:R28" si="8">I19/Q19</f>
        <v>3.8775510204081631</v>
      </c>
      <c r="S19" s="5">
        <v>1</v>
      </c>
    </row>
    <row r="20" spans="1:19" x14ac:dyDescent="0.3">
      <c r="A20" s="6">
        <v>2</v>
      </c>
      <c r="B20" s="7">
        <v>0.49166714995236899</v>
      </c>
      <c r="C20" s="7">
        <v>0.67422839703515502</v>
      </c>
      <c r="D20" s="8">
        <v>12</v>
      </c>
      <c r="E20" s="8">
        <f t="shared" ref="E20:E28" si="9">F20-D20</f>
        <v>9</v>
      </c>
      <c r="F20" s="9">
        <v>21</v>
      </c>
      <c r="G20" s="10">
        <f t="shared" ref="G20:G28" si="10">D20/F20</f>
        <v>0.5714285714285714</v>
      </c>
      <c r="H20" s="10">
        <f t="shared" ref="H20:H28" si="11">D20/$D$29</f>
        <v>0.24489795918367346</v>
      </c>
      <c r="I20" s="10">
        <f>I19+H20</f>
        <v>0.63265306122448983</v>
      </c>
      <c r="J20" s="10">
        <f t="shared" ref="J20:J28" si="12">E20/$E$29</f>
        <v>5.5900621118012424E-2</v>
      </c>
      <c r="K20" s="10">
        <f>K19+J20</f>
        <v>6.8322981366459631E-2</v>
      </c>
      <c r="L20" s="10">
        <f t="shared" ref="L20:L28" si="13">ABS(I20-K20)</f>
        <v>0.56433007985803019</v>
      </c>
      <c r="P20" s="11"/>
      <c r="Q20" s="11">
        <v>0.2</v>
      </c>
      <c r="R20" s="13">
        <f t="shared" si="8"/>
        <v>3.1632653061224492</v>
      </c>
      <c r="S20" s="5">
        <v>1</v>
      </c>
    </row>
    <row r="21" spans="1:19" x14ac:dyDescent="0.3">
      <c r="A21" s="6">
        <v>3</v>
      </c>
      <c r="B21" s="7">
        <v>0.320770604504098</v>
      </c>
      <c r="C21" s="7">
        <v>0.48154061226603101</v>
      </c>
      <c r="D21" s="8">
        <v>5</v>
      </c>
      <c r="E21" s="8">
        <f t="shared" si="9"/>
        <v>16</v>
      </c>
      <c r="F21" s="24">
        <v>21</v>
      </c>
      <c r="G21" s="25">
        <f t="shared" si="10"/>
        <v>0.23809523809523808</v>
      </c>
      <c r="H21" s="25">
        <f t="shared" si="11"/>
        <v>0.10204081632653061</v>
      </c>
      <c r="I21" s="25">
        <f t="shared" ref="I21:I28" si="14">I20+H21</f>
        <v>0.73469387755102045</v>
      </c>
      <c r="J21" s="25">
        <f t="shared" si="12"/>
        <v>9.9378881987577633E-2</v>
      </c>
      <c r="K21" s="25">
        <f t="shared" ref="K21:K28" si="15">K20+J21</f>
        <v>0.16770186335403725</v>
      </c>
      <c r="L21" s="25">
        <f t="shared" si="13"/>
        <v>0.5669920141969832</v>
      </c>
      <c r="P21" s="11"/>
      <c r="Q21" s="11">
        <v>0.3</v>
      </c>
      <c r="R21" s="13">
        <f t="shared" si="8"/>
        <v>2.4489795918367347</v>
      </c>
      <c r="S21" s="5">
        <v>1</v>
      </c>
    </row>
    <row r="22" spans="1:19" x14ac:dyDescent="0.3">
      <c r="A22" s="6">
        <v>4</v>
      </c>
      <c r="B22" s="7">
        <v>0.25499597701448801</v>
      </c>
      <c r="C22" s="7">
        <v>0.31285061152650201</v>
      </c>
      <c r="D22" s="8">
        <v>5</v>
      </c>
      <c r="E22" s="8">
        <f t="shared" si="9"/>
        <v>16</v>
      </c>
      <c r="F22" s="14">
        <v>21</v>
      </c>
      <c r="G22" s="15">
        <f t="shared" si="10"/>
        <v>0.23809523809523808</v>
      </c>
      <c r="H22" s="15">
        <f t="shared" si="11"/>
        <v>0.10204081632653061</v>
      </c>
      <c r="I22" s="15">
        <f t="shared" si="14"/>
        <v>0.83673469387755106</v>
      </c>
      <c r="J22" s="15">
        <f t="shared" si="12"/>
        <v>9.9378881987577633E-2</v>
      </c>
      <c r="K22" s="15">
        <f t="shared" si="15"/>
        <v>0.26708074534161486</v>
      </c>
      <c r="L22" s="15">
        <f t="shared" si="13"/>
        <v>0.56965394853593621</v>
      </c>
      <c r="P22" s="11"/>
      <c r="Q22" s="11">
        <v>0.4</v>
      </c>
      <c r="R22" s="13">
        <f t="shared" si="8"/>
        <v>2.0918367346938775</v>
      </c>
      <c r="S22" s="5">
        <v>1</v>
      </c>
    </row>
    <row r="23" spans="1:19" x14ac:dyDescent="0.3">
      <c r="A23" s="6">
        <v>5</v>
      </c>
      <c r="B23" s="7">
        <v>0.16800495504111801</v>
      </c>
      <c r="C23" s="7">
        <v>0.24118072422210601</v>
      </c>
      <c r="D23" s="8">
        <v>4</v>
      </c>
      <c r="E23" s="8">
        <f t="shared" si="9"/>
        <v>17</v>
      </c>
      <c r="F23" s="9">
        <v>21</v>
      </c>
      <c r="G23" s="10">
        <f t="shared" si="10"/>
        <v>0.19047619047619047</v>
      </c>
      <c r="H23" s="10">
        <f t="shared" si="11"/>
        <v>8.1632653061224483E-2</v>
      </c>
      <c r="I23" s="10">
        <f t="shared" si="14"/>
        <v>0.91836734693877553</v>
      </c>
      <c r="J23" s="10">
        <f t="shared" si="12"/>
        <v>0.10559006211180125</v>
      </c>
      <c r="K23" s="10">
        <f t="shared" si="15"/>
        <v>0.37267080745341608</v>
      </c>
      <c r="L23" s="10">
        <f t="shared" si="13"/>
        <v>0.54569653948535946</v>
      </c>
      <c r="P23" s="11"/>
      <c r="Q23" s="11">
        <v>0.5</v>
      </c>
      <c r="R23" s="13">
        <f t="shared" si="8"/>
        <v>1.8367346938775511</v>
      </c>
      <c r="S23" s="5">
        <v>1</v>
      </c>
    </row>
    <row r="24" spans="1:19" x14ac:dyDescent="0.3">
      <c r="A24" s="6">
        <v>6</v>
      </c>
      <c r="B24" s="7">
        <v>0.117242632407495</v>
      </c>
      <c r="C24" s="7">
        <v>0.166776198089718</v>
      </c>
      <c r="D24" s="8">
        <v>1</v>
      </c>
      <c r="E24" s="8">
        <f t="shared" si="9"/>
        <v>20</v>
      </c>
      <c r="F24" s="9">
        <v>21</v>
      </c>
      <c r="G24" s="10">
        <f t="shared" si="10"/>
        <v>4.7619047619047616E-2</v>
      </c>
      <c r="H24" s="10">
        <f t="shared" si="11"/>
        <v>2.0408163265306121E-2</v>
      </c>
      <c r="I24" s="10">
        <f t="shared" si="14"/>
        <v>0.93877551020408168</v>
      </c>
      <c r="J24" s="10">
        <f t="shared" si="12"/>
        <v>0.12422360248447205</v>
      </c>
      <c r="K24" s="10">
        <f t="shared" si="15"/>
        <v>0.49689440993788814</v>
      </c>
      <c r="L24" s="10">
        <f t="shared" si="13"/>
        <v>0.44188110026619354</v>
      </c>
      <c r="P24" s="11"/>
      <c r="Q24" s="11">
        <v>0.6</v>
      </c>
      <c r="R24" s="13">
        <f t="shared" si="8"/>
        <v>1.5646258503401362</v>
      </c>
      <c r="S24" s="5">
        <v>1</v>
      </c>
    </row>
    <row r="25" spans="1:19" x14ac:dyDescent="0.3">
      <c r="A25" s="6">
        <v>7</v>
      </c>
      <c r="B25" s="7">
        <v>6.6399266871321E-2</v>
      </c>
      <c r="C25" s="7">
        <v>0.116729223247519</v>
      </c>
      <c r="D25" s="8">
        <v>2</v>
      </c>
      <c r="E25" s="8">
        <f t="shared" si="9"/>
        <v>19</v>
      </c>
      <c r="F25" s="9">
        <v>21</v>
      </c>
      <c r="G25" s="10">
        <f t="shared" si="10"/>
        <v>9.5238095238095233E-2</v>
      </c>
      <c r="H25" s="10">
        <f t="shared" si="11"/>
        <v>4.0816326530612242E-2</v>
      </c>
      <c r="I25" s="10">
        <f t="shared" si="14"/>
        <v>0.97959183673469397</v>
      </c>
      <c r="J25" s="10">
        <f t="shared" si="12"/>
        <v>0.11801242236024845</v>
      </c>
      <c r="K25" s="10">
        <f t="shared" si="15"/>
        <v>0.61490683229813659</v>
      </c>
      <c r="L25" s="10">
        <f t="shared" si="13"/>
        <v>0.36468500443655738</v>
      </c>
      <c r="P25" s="11"/>
      <c r="Q25" s="11">
        <v>0.7</v>
      </c>
      <c r="R25" s="13">
        <f t="shared" si="8"/>
        <v>1.3994169096209914</v>
      </c>
      <c r="S25" s="5">
        <v>1</v>
      </c>
    </row>
    <row r="26" spans="1:19" x14ac:dyDescent="0.3">
      <c r="A26" s="6">
        <v>8</v>
      </c>
      <c r="B26" s="7">
        <v>4.05923751793427E-2</v>
      </c>
      <c r="C26" s="7">
        <v>6.5938133654855999E-2</v>
      </c>
      <c r="D26" s="8">
        <v>1</v>
      </c>
      <c r="E26" s="8">
        <f t="shared" si="9"/>
        <v>20</v>
      </c>
      <c r="F26" s="9">
        <v>21</v>
      </c>
      <c r="G26" s="10">
        <f t="shared" si="10"/>
        <v>4.7619047619047616E-2</v>
      </c>
      <c r="H26" s="10">
        <f t="shared" si="11"/>
        <v>2.0408163265306121E-2</v>
      </c>
      <c r="I26" s="10">
        <f t="shared" si="14"/>
        <v>1</v>
      </c>
      <c r="J26" s="10">
        <f t="shared" si="12"/>
        <v>0.12422360248447205</v>
      </c>
      <c r="K26" s="10">
        <f t="shared" si="15"/>
        <v>0.73913043478260865</v>
      </c>
      <c r="L26" s="10">
        <f t="shared" si="13"/>
        <v>0.26086956521739135</v>
      </c>
      <c r="P26" s="11"/>
      <c r="Q26" s="11">
        <v>0.8</v>
      </c>
      <c r="R26" s="13">
        <f t="shared" si="8"/>
        <v>1.25</v>
      </c>
      <c r="S26" s="5">
        <v>1</v>
      </c>
    </row>
    <row r="27" spans="1:19" x14ac:dyDescent="0.3">
      <c r="A27" s="6">
        <v>9</v>
      </c>
      <c r="B27" s="7">
        <v>1.7484683013446099E-2</v>
      </c>
      <c r="C27" s="7">
        <v>3.7296963177847101E-2</v>
      </c>
      <c r="D27" s="8">
        <v>0</v>
      </c>
      <c r="E27" s="8">
        <f t="shared" si="9"/>
        <v>21</v>
      </c>
      <c r="F27" s="9">
        <v>21</v>
      </c>
      <c r="G27" s="10">
        <f t="shared" si="10"/>
        <v>0</v>
      </c>
      <c r="H27" s="10">
        <f t="shared" si="11"/>
        <v>0</v>
      </c>
      <c r="I27" s="10">
        <f t="shared" si="14"/>
        <v>1</v>
      </c>
      <c r="J27" s="10">
        <f t="shared" si="12"/>
        <v>0.13043478260869565</v>
      </c>
      <c r="K27" s="10">
        <f t="shared" si="15"/>
        <v>0.86956521739130432</v>
      </c>
      <c r="L27" s="10">
        <f t="shared" si="13"/>
        <v>0.13043478260869568</v>
      </c>
      <c r="P27" s="11"/>
      <c r="Q27" s="11">
        <v>0.9</v>
      </c>
      <c r="R27" s="13">
        <f t="shared" si="8"/>
        <v>1.1111111111111112</v>
      </c>
      <c r="S27" s="5">
        <v>1</v>
      </c>
    </row>
    <row r="28" spans="1:19" x14ac:dyDescent="0.3">
      <c r="A28" s="6">
        <v>10</v>
      </c>
      <c r="B28" s="7">
        <v>8.4242443510568795E-4</v>
      </c>
      <c r="C28" s="7">
        <v>1.6228718157957001E-2</v>
      </c>
      <c r="D28" s="8">
        <v>0</v>
      </c>
      <c r="E28" s="8">
        <f t="shared" si="9"/>
        <v>21</v>
      </c>
      <c r="F28" s="9">
        <v>21</v>
      </c>
      <c r="G28" s="10">
        <f t="shared" si="10"/>
        <v>0</v>
      </c>
      <c r="H28" s="10">
        <f t="shared" si="11"/>
        <v>0</v>
      </c>
      <c r="I28" s="10">
        <f t="shared" si="14"/>
        <v>1</v>
      </c>
      <c r="J28" s="10">
        <f t="shared" si="12"/>
        <v>0.13043478260869565</v>
      </c>
      <c r="K28" s="10">
        <f t="shared" si="15"/>
        <v>1</v>
      </c>
      <c r="L28" s="10">
        <f t="shared" si="13"/>
        <v>0</v>
      </c>
      <c r="P28" s="11"/>
      <c r="Q28" s="11">
        <v>1</v>
      </c>
      <c r="R28" s="13">
        <f t="shared" si="8"/>
        <v>1</v>
      </c>
      <c r="S28" s="5">
        <v>1</v>
      </c>
    </row>
    <row r="29" spans="1:19" x14ac:dyDescent="0.3">
      <c r="A29" s="16"/>
      <c r="B29" s="17"/>
      <c r="C29" s="17"/>
      <c r="D29" s="18">
        <f>SUM(D19:D28)</f>
        <v>49</v>
      </c>
      <c r="E29" s="18">
        <f>SUM(E19:E28)</f>
        <v>161</v>
      </c>
      <c r="F29" s="18">
        <f>SUM(F19:F28)</f>
        <v>210</v>
      </c>
      <c r="G29" s="16"/>
      <c r="H29" s="16"/>
      <c r="I29" s="16"/>
      <c r="J29" s="20"/>
      <c r="K29" s="21" t="s">
        <v>20</v>
      </c>
      <c r="L29" s="22">
        <f>MAX(L19:L28)</f>
        <v>0.56965394853593621</v>
      </c>
    </row>
  </sheetData>
  <mergeCells count="2">
    <mergeCell ref="A1:I1"/>
    <mergeCell ref="A16:I16"/>
  </mergeCells>
  <conditionalFormatting sqref="G6:G13 G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{38DB7528-9F9E-436A-9747-86E534450067}</x14:id>
        </ext>
      </extLst>
    </cfRule>
  </conditionalFormatting>
  <conditionalFormatting sqref="G21:G28 G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{E0CC2AD4-A489-473E-827C-126E192FE731}</x14:id>
        </ext>
      </extLst>
    </cfRule>
  </conditionalFormatting>
  <conditionalFormatting sqref="G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{D733EC5E-8D0C-44AC-B61D-450FAC346BC0}</x14:id>
        </ext>
      </extLst>
    </cfRule>
  </conditionalFormatting>
  <conditionalFormatting sqref="G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{0AC083B6-140A-43B0-BA95-809A48794A08}</x14:id>
        </ext>
      </extLst>
    </cfRule>
  </conditionalFormatting>
  <pageMargins left="0.7" right="0.7" top="0.75" bottom="0.75" header="0.3" footer="0.3"/>
  <pageSetup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DB7528-9F9E-436A-9747-86E534450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G6:G13 G4</xm:sqref>
        </x14:conditionalFormatting>
        <x14:conditionalFormatting xmlns:xm="http://schemas.microsoft.com/office/excel/2006/main">
          <x14:cfRule type="dataBar" id="{E0CC2AD4-A489-473E-827C-126E192FE7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G21:G28 G19</xm:sqref>
        </x14:conditionalFormatting>
        <x14:conditionalFormatting xmlns:xm="http://schemas.microsoft.com/office/excel/2006/main">
          <x14:cfRule type="dataBar" id="{D733EC5E-8D0C-44AC-B61D-450FAC346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G5</xm:sqref>
        </x14:conditionalFormatting>
        <x14:conditionalFormatting xmlns:xm="http://schemas.microsoft.com/office/excel/2006/main">
          <x14:cfRule type="dataBar" id="{0AC083B6-140A-43B0-BA95-809A48794A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45D4-809A-4AAA-A21B-4ED087E0065B}">
  <dimension ref="B2:O24"/>
  <sheetViews>
    <sheetView tabSelected="1" zoomScale="120" zoomScaleNormal="120" workbookViewId="0">
      <selection activeCell="G9" sqref="G9"/>
    </sheetView>
  </sheetViews>
  <sheetFormatPr defaultRowHeight="14.4" x14ac:dyDescent="0.3"/>
  <cols>
    <col min="7" max="7" width="35.21875" bestFit="1" customWidth="1"/>
    <col min="11" max="11" width="12" customWidth="1"/>
    <col min="13" max="13" width="12.44140625" customWidth="1"/>
  </cols>
  <sheetData>
    <row r="2" spans="2:15" x14ac:dyDescent="0.3">
      <c r="B2" t="s">
        <v>24</v>
      </c>
      <c r="C2" t="s">
        <v>35</v>
      </c>
    </row>
    <row r="4" spans="2:15" x14ac:dyDescent="0.3">
      <c r="B4" s="23" t="s">
        <v>26</v>
      </c>
      <c r="D4" s="23" t="s">
        <v>23</v>
      </c>
      <c r="G4" s="23" t="s">
        <v>25</v>
      </c>
      <c r="K4" s="23" t="s">
        <v>27</v>
      </c>
      <c r="M4" s="23" t="s">
        <v>28</v>
      </c>
      <c r="O4" s="23" t="s">
        <v>29</v>
      </c>
    </row>
    <row r="5" spans="2:15" x14ac:dyDescent="0.3">
      <c r="B5">
        <v>10000</v>
      </c>
      <c r="D5" s="26">
        <v>0.05</v>
      </c>
      <c r="E5">
        <f>B5*D5</f>
        <v>500</v>
      </c>
      <c r="G5">
        <f>B5/ 25</f>
        <v>400</v>
      </c>
      <c r="K5">
        <v>100</v>
      </c>
      <c r="M5">
        <f>G5 * K5</f>
        <v>40000</v>
      </c>
      <c r="O5">
        <f>M5 / E5</f>
        <v>80</v>
      </c>
    </row>
    <row r="8" spans="2:15" x14ac:dyDescent="0.3">
      <c r="B8" s="23" t="s">
        <v>30</v>
      </c>
      <c r="E8" s="26">
        <v>0.62</v>
      </c>
    </row>
    <row r="9" spans="2:15" x14ac:dyDescent="0.3">
      <c r="B9">
        <v>3000</v>
      </c>
      <c r="E9">
        <f>E5 * E8</f>
        <v>310</v>
      </c>
      <c r="G9">
        <f>B9 / 25</f>
        <v>120</v>
      </c>
      <c r="K9">
        <v>100</v>
      </c>
      <c r="M9">
        <f>G9 * K9</f>
        <v>12000</v>
      </c>
      <c r="O9">
        <f>M9 / E9</f>
        <v>38.70967741935484</v>
      </c>
    </row>
    <row r="18" spans="2:13" x14ac:dyDescent="0.3">
      <c r="B18" s="23" t="s">
        <v>31</v>
      </c>
    </row>
    <row r="19" spans="2:13" x14ac:dyDescent="0.3">
      <c r="I19" s="27">
        <v>0.05</v>
      </c>
      <c r="K19" s="28">
        <v>1000</v>
      </c>
    </row>
    <row r="20" spans="2:13" x14ac:dyDescent="0.3">
      <c r="B20" s="23" t="s">
        <v>26</v>
      </c>
      <c r="E20" s="23" t="s">
        <v>32</v>
      </c>
      <c r="F20" s="23"/>
      <c r="G20" s="23" t="s">
        <v>33</v>
      </c>
      <c r="I20" s="23" t="s">
        <v>34</v>
      </c>
      <c r="K20" s="23" t="s">
        <v>27</v>
      </c>
    </row>
    <row r="21" spans="2:13" x14ac:dyDescent="0.3">
      <c r="B21">
        <v>10000</v>
      </c>
      <c r="E21">
        <v>25</v>
      </c>
      <c r="G21">
        <f>B21/E21</f>
        <v>400</v>
      </c>
      <c r="I21">
        <f>B21*5%</f>
        <v>500</v>
      </c>
      <c r="K21">
        <f>G21 * 1000</f>
        <v>400000</v>
      </c>
      <c r="M21">
        <f>K21/I21</f>
        <v>800</v>
      </c>
    </row>
    <row r="23" spans="2:13" x14ac:dyDescent="0.3">
      <c r="I23" s="30">
        <v>0.75</v>
      </c>
    </row>
    <row r="24" spans="2:13" x14ac:dyDescent="0.3">
      <c r="B24">
        <f>B21 * 40%</f>
        <v>4000</v>
      </c>
      <c r="E24">
        <v>25</v>
      </c>
      <c r="G24">
        <f>B24/E24</f>
        <v>160</v>
      </c>
      <c r="I24">
        <f>I21 * I23</f>
        <v>375</v>
      </c>
      <c r="K24">
        <f>G24 * K19</f>
        <v>160000</v>
      </c>
      <c r="M24" s="29">
        <f>K24/I24</f>
        <v>426.66666666666669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Gains Table - Dev &amp; Val Sample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abhishek gupta</cp:lastModifiedBy>
  <dcterms:created xsi:type="dcterms:W3CDTF">2019-10-22T19:28:40Z</dcterms:created>
  <dcterms:modified xsi:type="dcterms:W3CDTF">2026-01-14T18:00:42Z</dcterms:modified>
</cp:coreProperties>
</file>